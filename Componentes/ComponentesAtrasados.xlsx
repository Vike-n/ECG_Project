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ile\Desktop\Github\ECG_Project\Componentes\"/>
    </mc:Choice>
  </mc:AlternateContent>
  <xr:revisionPtr revIDLastSave="0" documentId="13_ncr:1_{28B866C8-21B6-497C-810F-3C31AF51C861}" xr6:coauthVersionLast="47" xr6:coauthVersionMax="47" xr10:uidLastSave="{00000000-0000-0000-0000-000000000000}"/>
  <bookViews>
    <workbookView xWindow="-120" yWindow="-120" windowWidth="20730" windowHeight="11040" activeTab="1" xr2:uid="{B89B2AA9-5016-4BB0-B292-57F2D3B7019D}"/>
  </bookViews>
  <sheets>
    <sheet name="Electrocardiograma" sheetId="1" r:id="rId1"/>
    <sheet name="Electrocardiograma (2)" sheetId="3" r:id="rId2"/>
  </sheets>
  <definedNames>
    <definedName name="DatosExternos_1" localSheetId="1" hidden="1">'Electrocardiograma (2)'!$A$1:$C$45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3" l="1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AAF2D3F-EE36-4CEF-92E2-F5B19D4EBE80}" keepAlive="1" name="Consulta - Electrocardiograma" description="Conexión a la consulta 'Electrocardiograma' en el libro." type="5" refreshedVersion="8" background="1" saveData="1">
    <dbPr connection="Provider=Microsoft.Mashup.OleDb.1;Data Source=$Workbook$;Location=Electrocardiograma;Extended Properties=&quot;&quot;" command="SELECT * FROM [Electrocardiograma]"/>
  </connection>
</connections>
</file>

<file path=xl/sharedStrings.xml><?xml version="1.0" encoding="utf-8"?>
<sst xmlns="http://schemas.openxmlformats.org/spreadsheetml/2006/main" count="350" uniqueCount="177">
  <si>
    <t>Reference</t>
  </si>
  <si>
    <t>Qty</t>
  </si>
  <si>
    <t>Value</t>
  </si>
  <si>
    <t>DigiKey</t>
  </si>
  <si>
    <t>C1,C2,C7,C9,C10,C15,C16,C17</t>
  </si>
  <si>
    <t>10uF</t>
  </si>
  <si>
    <t>1276-1096-1-ND</t>
  </si>
  <si>
    <t>C3,C4,C5,C6,C8,C13</t>
  </si>
  <si>
    <t>100n</t>
  </si>
  <si>
    <t>1292-1206B104K101CT-ND</t>
  </si>
  <si>
    <t>C11,C12</t>
  </si>
  <si>
    <t>10n</t>
  </si>
  <si>
    <t>490-1642-1-ND</t>
  </si>
  <si>
    <t>D1</t>
  </si>
  <si>
    <t>D_TVS_Dual_AAC</t>
  </si>
  <si>
    <t>1727-PESD2CAN24XLT-QRCT-ND</t>
  </si>
  <si>
    <t>D2</t>
  </si>
  <si>
    <t>1N4007</t>
  </si>
  <si>
    <t>5399-M7CT-ND</t>
  </si>
  <si>
    <t>D3</t>
  </si>
  <si>
    <t>D4</t>
  </si>
  <si>
    <t>LED</t>
  </si>
  <si>
    <t>D5</t>
  </si>
  <si>
    <t>SS24</t>
  </si>
  <si>
    <t>J1</t>
  </si>
  <si>
    <t>54-00174</t>
  </si>
  <si>
    <t>J2</t>
  </si>
  <si>
    <t>Conn_01x02_Pin</t>
  </si>
  <si>
    <t>455-B2B-XH-A-ND</t>
  </si>
  <si>
    <t>J3</t>
  </si>
  <si>
    <t>USB_C_Receptacle_PowerOnly_6P</t>
  </si>
  <si>
    <t>J4,J5</t>
  </si>
  <si>
    <t>J6</t>
  </si>
  <si>
    <t>R1,R2</t>
  </si>
  <si>
    <t>ERA-6AEB511V</t>
  </si>
  <si>
    <t>R3,R13</t>
  </si>
  <si>
    <t>311-51.0CRCT-ND</t>
  </si>
  <si>
    <t>R4,R5,R25</t>
  </si>
  <si>
    <t>330k</t>
  </si>
  <si>
    <t>P330KDACT-ND</t>
  </si>
  <si>
    <t>R6,R7,R8,R9</t>
  </si>
  <si>
    <t>31K6</t>
  </si>
  <si>
    <t>P31.6KDACT-ND</t>
  </si>
  <si>
    <t>R10,R35</t>
  </si>
  <si>
    <t>22K</t>
  </si>
  <si>
    <t>P22KDACT-ND</t>
  </si>
  <si>
    <t>R11,R14,R15,R24</t>
  </si>
  <si>
    <t>33K</t>
  </si>
  <si>
    <t>P33KDACT-ND</t>
  </si>
  <si>
    <t>R12,R16,R18,R19,R20,R22,R23,R34,R36,R38</t>
  </si>
  <si>
    <t>100K</t>
  </si>
  <si>
    <t>P100KDACT-ND</t>
  </si>
  <si>
    <t>R17,R21</t>
  </si>
  <si>
    <t>27K</t>
  </si>
  <si>
    <t>311-26.7KCRCT-ND</t>
  </si>
  <si>
    <t>R26,R27</t>
  </si>
  <si>
    <t>1k</t>
  </si>
  <si>
    <t>RR12P1.0KDCT-ND</t>
  </si>
  <si>
    <t>R28,R29,R30,R39</t>
  </si>
  <si>
    <t>10K</t>
  </si>
  <si>
    <t>R31</t>
  </si>
  <si>
    <t>RR12P120DCT-ND</t>
  </si>
  <si>
    <t>R32</t>
  </si>
  <si>
    <t>311-453CRCT-ND</t>
  </si>
  <si>
    <t>R33</t>
  </si>
  <si>
    <t>R37</t>
  </si>
  <si>
    <t>300K</t>
  </si>
  <si>
    <t>R40</t>
  </si>
  <si>
    <t>18K</t>
  </si>
  <si>
    <t>R41</t>
  </si>
  <si>
    <t>R42</t>
  </si>
  <si>
    <t>R43</t>
  </si>
  <si>
    <t>24k</t>
  </si>
  <si>
    <t>S1</t>
  </si>
  <si>
    <t>SLW-129956-4A-RA-N-D</t>
  </si>
  <si>
    <t>U1</t>
  </si>
  <si>
    <t>INA823DT</t>
  </si>
  <si>
    <t>296-INA823DGKTCT-ND</t>
  </si>
  <si>
    <t>U2</t>
  </si>
  <si>
    <t>ESP32-C3-WROOM-02</t>
  </si>
  <si>
    <t>1965-ESP32-C3-WROOM-02-H4TR-ND</t>
  </si>
  <si>
    <t>U3</t>
  </si>
  <si>
    <t>TLV1117-33</t>
  </si>
  <si>
    <t>296-21113-1-ND</t>
  </si>
  <si>
    <t>U4,U5</t>
  </si>
  <si>
    <t>TLV4888</t>
  </si>
  <si>
    <t>296-TLV4888DRCT-ND</t>
  </si>
  <si>
    <t>U6</t>
  </si>
  <si>
    <t>TLV1117-ADJ</t>
  </si>
  <si>
    <t>296-17600-1-ND</t>
  </si>
  <si>
    <t>U7</t>
  </si>
  <si>
    <t>SC6038</t>
  </si>
  <si>
    <t>U8</t>
  </si>
  <si>
    <t>CH224K</t>
  </si>
  <si>
    <t>C1,C2,C7,C9,C10</t>
  </si>
  <si>
    <t>AudioJack4</t>
  </si>
  <si>
    <t>839-54-00174CT-ND</t>
  </si>
  <si>
    <t>R10</t>
  </si>
  <si>
    <t>R12,R16,R18,R19,R20,R22,R23</t>
  </si>
  <si>
    <t>SW1</t>
  </si>
  <si>
    <t>SW_DPST_x2</t>
  </si>
  <si>
    <t>2223-SLW-129956-4A-RA-N-D-ND</t>
  </si>
  <si>
    <t>U4</t>
  </si>
  <si>
    <t>U5</t>
  </si>
  <si>
    <t>Revisar en taller</t>
  </si>
  <si>
    <t>Termica</t>
  </si>
  <si>
    <t>Tiene que ser de 1% de error</t>
  </si>
  <si>
    <t>No se utilizará</t>
  </si>
  <si>
    <t>****** 15 vs 27, faltarian 7 capacitores</t>
  </si>
  <si>
    <t>Falta pero hay que revisar pertenencias, 30 vs 21 = deberian tener exacto</t>
  </si>
  <si>
    <t>BAT54S / KL4</t>
  </si>
  <si>
    <t>Pin Header 1.27mm</t>
  </si>
  <si>
    <t>BAT1</t>
  </si>
  <si>
    <t>Bateria LiPo</t>
  </si>
  <si>
    <t>Se cambia por AMS1117</t>
  </si>
  <si>
    <t>Hay que revisar pertenencias</t>
  </si>
  <si>
    <t>Recibido</t>
  </si>
  <si>
    <t>Esp32</t>
  </si>
  <si>
    <t>100k</t>
  </si>
  <si>
    <t>Cantidad</t>
  </si>
  <si>
    <t>31k6</t>
  </si>
  <si>
    <t>Compra</t>
  </si>
  <si>
    <t>22k</t>
  </si>
  <si>
    <t>33k</t>
  </si>
  <si>
    <t>26k7</t>
  </si>
  <si>
    <t>10k</t>
  </si>
  <si>
    <t>300k</t>
  </si>
  <si>
    <t>BAT54S</t>
  </si>
  <si>
    <t>Led Verde</t>
  </si>
  <si>
    <t>AMS1117-33</t>
  </si>
  <si>
    <t>TLV1117-ADJ-V2</t>
  </si>
  <si>
    <t>CH224</t>
  </si>
  <si>
    <t>Pin Header de carga</t>
  </si>
  <si>
    <t>Jack 3.5mm</t>
  </si>
  <si>
    <t xml:space="preserve">Switch </t>
  </si>
  <si>
    <t>NTC</t>
  </si>
  <si>
    <t>Pin Header programación 1.27mm</t>
  </si>
  <si>
    <t>5 filas de 50 pin</t>
  </si>
  <si>
    <t>Hembra de USB-C</t>
  </si>
  <si>
    <t>10nF</t>
  </si>
  <si>
    <t>100nF</t>
  </si>
  <si>
    <t>INA823DGKT</t>
  </si>
  <si>
    <t>Bateria LiPo 103450 3.7v 2000mAh</t>
  </si>
  <si>
    <t>C1,C2,C7,C9,C10,C14,C15,C16,C17,C18,C19</t>
  </si>
  <si>
    <t>C5,C6,C8,C13</t>
  </si>
  <si>
    <t>C20,C21,C22,C23,C24,C25,C26,C27,C28,C29,C30,C31</t>
  </si>
  <si>
    <t/>
  </si>
  <si>
    <t>D4,D6</t>
  </si>
  <si>
    <t>Conn_01x04_Pin</t>
  </si>
  <si>
    <t>510</t>
  </si>
  <si>
    <t>51</t>
  </si>
  <si>
    <t>R4</t>
  </si>
  <si>
    <t>R5</t>
  </si>
  <si>
    <t>R10,R17,R21</t>
  </si>
  <si>
    <t>2K67</t>
  </si>
  <si>
    <t>R11</t>
  </si>
  <si>
    <t>4k</t>
  </si>
  <si>
    <t>R12,R24,R34,R36</t>
  </si>
  <si>
    <t>1K</t>
  </si>
  <si>
    <t>R14,R15</t>
  </si>
  <si>
    <t>R16,R18,R38</t>
  </si>
  <si>
    <t>R19,R20,R22,R23,R28,R29,R30,R39</t>
  </si>
  <si>
    <t>R25</t>
  </si>
  <si>
    <t>R31,R45,R47,R48,R49,R50</t>
  </si>
  <si>
    <t>120</t>
  </si>
  <si>
    <t>R32,R42</t>
  </si>
  <si>
    <t>470</t>
  </si>
  <si>
    <t>47</t>
  </si>
  <si>
    <t>R35</t>
  </si>
  <si>
    <t>0.3</t>
  </si>
  <si>
    <t>R44</t>
  </si>
  <si>
    <t>Columna1</t>
  </si>
  <si>
    <t>Columna2</t>
  </si>
  <si>
    <t>termica</t>
  </si>
  <si>
    <t>por cambiarse</t>
  </si>
  <si>
    <t>100 Pedidas</t>
  </si>
  <si>
    <t>100 Pedidos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</si>
</sst>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0"/>
      <name val="Aptos Narrow"/>
      <family val="2"/>
      <scheme val="minor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0" fontId="0" fillId="33" borderId="0" xfId="0" applyFill="1"/>
    <xf numFmtId="0" fontId="0" fillId="34" borderId="0" xfId="0" applyFill="1"/>
    <xf numFmtId="0" fontId="0" fillId="35" borderId="0" xfId="0" applyFill="1"/>
    <xf numFmtId="0" fontId="0" fillId="36" borderId="0" xfId="0" applyFill="1"/>
    <xf numFmtId="0" fontId="0" fillId="37" borderId="0" xfId="0" applyFill="1"/>
    <xf numFmtId="0" fontId="0" fillId="37" borderId="0" xfId="0" applyFill="1" applyAlignment="1">
      <alignment horizontal="center" vertical="center"/>
    </xf>
    <xf numFmtId="0" fontId="0" fillId="38" borderId="0" xfId="0" applyFill="1"/>
    <xf numFmtId="0" fontId="0" fillId="0" borderId="10" xfId="0" applyBorder="1"/>
    <xf numFmtId="0" fontId="0" fillId="0" borderId="11" xfId="0" applyBorder="1"/>
    <xf numFmtId="0" fontId="0" fillId="36" borderId="11" xfId="0" applyFill="1" applyBorder="1"/>
    <xf numFmtId="0" fontId="0" fillId="36" borderId="0" xfId="0" applyFill="1" applyAlignment="1">
      <alignment horizontal="left"/>
    </xf>
    <xf numFmtId="0" fontId="0" fillId="36" borderId="0" xfId="0" applyFill="1" applyAlignment="1">
      <alignment horizontal="center"/>
    </xf>
    <xf numFmtId="0" fontId="0" fillId="36" borderId="0" xfId="0" applyFill="1" applyAlignment="1">
      <alignment horizontal="center" vertical="center"/>
    </xf>
    <xf numFmtId="0" fontId="0" fillId="33" borderId="0" xfId="0" applyFill="1" applyAlignment="1">
      <alignment horizontal="center" vertical="center"/>
    </xf>
    <xf numFmtId="0" fontId="0" fillId="35" borderId="0" xfId="0" applyFill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38" borderId="0" xfId="0" applyFill="1" applyAlignment="1">
      <alignment horizontal="center" vertical="center"/>
    </xf>
    <xf numFmtId="0" fontId="0" fillId="36" borderId="12" xfId="0" applyFill="1" applyBorder="1"/>
    <xf numFmtId="0" fontId="18" fillId="0" borderId="0" xfId="0" applyFont="1"/>
    <xf numFmtId="0" fontId="0" fillId="0" borderId="0" xfId="0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39" borderId="0" xfId="0" applyFont="1" applyFill="1" applyAlignment="1">
      <alignment horizontal="center" vertical="center"/>
    </xf>
    <xf numFmtId="0" fontId="17" fillId="39" borderId="11" xfId="0" applyFont="1" applyFill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7" fillId="39" borderId="13" xfId="0" applyFont="1" applyFill="1" applyBorder="1" applyAlignment="1">
      <alignment horizontal="center" vertical="center"/>
    </xf>
    <xf numFmtId="0" fontId="17" fillId="39" borderId="10" xfId="0" applyFont="1" applyFill="1" applyBorder="1" applyAlignment="1">
      <alignment horizontal="center" vertical="center"/>
    </xf>
    <xf numFmtId="0" fontId="17" fillId="39" borderId="12" xfId="0" applyFont="1" applyFill="1" applyBorder="1" applyAlignment="1">
      <alignment horizontal="center" vertical="center"/>
    </xf>
    <xf numFmtId="0" fontId="17" fillId="39" borderId="10" xfId="0" applyFont="1" applyFill="1" applyBorder="1" applyAlignment="1">
      <alignment horizontal="center" vertical="center"/>
    </xf>
    <xf numFmtId="0" fontId="17" fillId="39" borderId="12" xfId="0" applyFont="1" applyFill="1" applyBorder="1" applyAlignment="1">
      <alignment horizontal="center" vertical="center"/>
    </xf>
    <xf numFmtId="0" fontId="0" fillId="0" borderId="0" xfId="0" applyNumberFormat="1"/>
    <xf numFmtId="0" fontId="0" fillId="0" borderId="0" xfId="0" applyNumberFormat="1" applyFill="1"/>
    <xf numFmtId="0" fontId="0" fillId="40" borderId="0" xfId="0" applyNumberFormat="1" applyFill="1"/>
    <xf numFmtId="0" fontId="0" fillId="37" borderId="0" xfId="0" applyNumberFormat="1" applyFill="1"/>
    <xf numFmtId="0" fontId="0" fillId="42" borderId="0" xfId="0" applyNumberFormat="1" applyFill="1"/>
    <xf numFmtId="0" fontId="0" fillId="43" borderId="0" xfId="0" applyNumberFormat="1" applyFill="1"/>
    <xf numFmtId="0" fontId="0" fillId="44" borderId="0" xfId="0" applyNumberFormat="1" applyFill="1"/>
    <xf numFmtId="0" fontId="17" fillId="41" borderId="0" xfId="0" applyNumberFormat="1" applyFont="1" applyFill="1"/>
    <xf numFmtId="0" fontId="20" fillId="41" borderId="0" xfId="0" applyNumberFormat="1" applyFont="1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74F0815C-F55C-44A9-B596-09887B05B9C3}" autoFormatId="16" applyNumberFormats="0" applyBorderFormats="0" applyFontFormats="0" applyPatternFormats="0" applyAlignmentFormats="0" applyWidthHeightFormats="0">
  <queryTableRefresh nextId="7" unboundColumnsRight="2">
    <queryTableFields count="5">
      <queryTableField id="1" name="Reference" tableColumnId="1"/>
      <queryTableField id="2" name="Qty" tableColumnId="2"/>
      <queryTableField id="3" name="Value" tableColumnId="3"/>
      <queryTableField id="5" dataBound="0" tableColumnId="5"/>
      <queryTableField id="6" dataBound="0" tableColumnId="6"/>
    </queryTableFields>
    <queryTableDeletedFields count="1">
      <deletedField name="DigiKey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6BBC8D0-6FB3-4B6E-A126-8680D28172B7}" name="Electrocardiograma" displayName="Electrocardiograma" ref="A1:E45" tableType="queryTable" totalsRowShown="0">
  <autoFilter ref="A1:E45" xr:uid="{A6BBC8D0-6FB3-4B6E-A126-8680D28172B7}"/>
  <tableColumns count="5">
    <tableColumn id="1" xr3:uid="{EBF3CDD6-8A47-4BE9-AEC6-A0EFD58935FE}" uniqueName="1" name="Reference" queryTableFieldId="1" dataDxfId="3"/>
    <tableColumn id="2" xr3:uid="{F881319F-FD09-46BC-8FE0-54EAA579529A}" uniqueName="2" name="Qty" queryTableFieldId="2"/>
    <tableColumn id="3" xr3:uid="{08AEAF18-F319-4DC6-B6E1-5EADA84BECC0}" uniqueName="3" name="Value" queryTableFieldId="3" dataDxfId="2"/>
    <tableColumn id="5" xr3:uid="{4E7A724C-9F79-4D7C-B53C-91AAD5099730}" uniqueName="5" name="Columna1" queryTableFieldId="5" dataDxfId="1">
      <calculatedColumnFormula>Electrocardiograma[[#This Row],[Qty]]*3</calculatedColumnFormula>
    </tableColumn>
    <tableColumn id="6" xr3:uid="{D1908D0D-9DF7-428F-9B85-C81990F4FC59}" uniqueName="6" name="Columna2" queryTableFieldId="6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BFE47C-7FDE-4C84-A66A-A45B69A0CBD5}">
  <dimension ref="A1:R43"/>
  <sheetViews>
    <sheetView topLeftCell="C18" zoomScale="58" zoomScaleNormal="70" workbookViewId="0">
      <selection activeCell="F1" sqref="F1:H43"/>
    </sheetView>
  </sheetViews>
  <sheetFormatPr baseColWidth="10" defaultRowHeight="15" x14ac:dyDescent="0.25"/>
  <cols>
    <col min="1" max="1" width="38.28515625" bestFit="1" customWidth="1"/>
    <col min="2" max="2" width="3.85546875" bestFit="1" customWidth="1"/>
    <col min="3" max="3" width="36.7109375" bestFit="1" customWidth="1"/>
    <col min="4" max="4" width="40.85546875" bestFit="1" customWidth="1"/>
    <col min="5" max="5" width="70.85546875" bestFit="1" customWidth="1"/>
    <col min="6" max="6" width="26.85546875" bestFit="1" customWidth="1"/>
    <col min="7" max="7" width="37.5703125" style="20" bestFit="1" customWidth="1"/>
    <col min="8" max="8" width="32.28515625" bestFit="1" customWidth="1"/>
    <col min="9" max="9" width="5.140625" bestFit="1" customWidth="1"/>
    <col min="10" max="10" width="25.140625" bestFit="1" customWidth="1"/>
    <col min="11" max="11" width="31" bestFit="1" customWidth="1"/>
    <col min="12" max="12" width="4.5703125" bestFit="1" customWidth="1"/>
    <col min="13" max="13" width="24.42578125" bestFit="1" customWidth="1"/>
    <col min="14" max="14" width="40.7109375" bestFit="1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F1" s="8" t="s">
        <v>121</v>
      </c>
      <c r="G1" s="25" t="s">
        <v>116</v>
      </c>
      <c r="H1" s="20" t="s">
        <v>119</v>
      </c>
      <c r="K1" t="s">
        <v>0</v>
      </c>
      <c r="L1" t="s">
        <v>1</v>
      </c>
      <c r="M1" t="s">
        <v>2</v>
      </c>
      <c r="N1" t="s">
        <v>3</v>
      </c>
    </row>
    <row r="2" spans="1:18" x14ac:dyDescent="0.25">
      <c r="A2" s="4" t="s">
        <v>4</v>
      </c>
      <c r="B2" s="4">
        <v>9</v>
      </c>
      <c r="C2" s="13" t="s">
        <v>5</v>
      </c>
      <c r="D2" s="4" t="s">
        <v>6</v>
      </c>
      <c r="E2" s="6" t="s">
        <v>108</v>
      </c>
      <c r="F2" s="10"/>
      <c r="G2" s="23" t="s">
        <v>5</v>
      </c>
      <c r="H2" s="22">
        <v>110</v>
      </c>
      <c r="K2" s="2" t="s">
        <v>94</v>
      </c>
      <c r="L2" s="2">
        <v>5</v>
      </c>
      <c r="M2" s="2" t="s">
        <v>5</v>
      </c>
      <c r="N2" s="2" t="s">
        <v>6</v>
      </c>
    </row>
    <row r="3" spans="1:18" s="1" customFormat="1" x14ac:dyDescent="0.25">
      <c r="A3" s="1" t="s">
        <v>7</v>
      </c>
      <c r="B3" s="1">
        <v>6</v>
      </c>
      <c r="C3" s="14" t="s">
        <v>8</v>
      </c>
      <c r="D3" s="1" t="s">
        <v>9</v>
      </c>
      <c r="E3"/>
      <c r="F3" s="9"/>
      <c r="G3" s="23" t="s">
        <v>140</v>
      </c>
      <c r="H3" s="22">
        <v>20</v>
      </c>
      <c r="I3"/>
      <c r="J3"/>
      <c r="K3" s="1" t="s">
        <v>7</v>
      </c>
      <c r="L3" s="1">
        <v>6</v>
      </c>
      <c r="M3" s="1" t="s">
        <v>8</v>
      </c>
      <c r="N3" s="1" t="s">
        <v>9</v>
      </c>
      <c r="O3" s="19"/>
      <c r="P3" s="19"/>
      <c r="Q3" s="19"/>
      <c r="R3" s="19"/>
    </row>
    <row r="4" spans="1:18" s="1" customFormat="1" x14ac:dyDescent="0.25">
      <c r="A4" s="1" t="s">
        <v>10</v>
      </c>
      <c r="B4" s="1">
        <v>2</v>
      </c>
      <c r="C4" s="14" t="s">
        <v>11</v>
      </c>
      <c r="D4" s="1" t="s">
        <v>12</v>
      </c>
      <c r="E4"/>
      <c r="F4" s="9"/>
      <c r="G4" s="23" t="s">
        <v>139</v>
      </c>
      <c r="H4" s="22">
        <v>10</v>
      </c>
      <c r="I4"/>
      <c r="J4"/>
      <c r="K4" s="1" t="s">
        <v>10</v>
      </c>
      <c r="L4" s="1">
        <v>2</v>
      </c>
      <c r="M4" s="1" t="s">
        <v>11</v>
      </c>
      <c r="N4" s="1" t="s">
        <v>12</v>
      </c>
      <c r="O4" s="19"/>
      <c r="P4" s="19"/>
      <c r="Q4" s="19"/>
      <c r="R4" s="19"/>
    </row>
    <row r="5" spans="1:18" x14ac:dyDescent="0.25">
      <c r="A5" s="1" t="s">
        <v>13</v>
      </c>
      <c r="B5" s="1">
        <v>1</v>
      </c>
      <c r="C5" s="14" t="s">
        <v>14</v>
      </c>
      <c r="D5" s="1" t="s">
        <v>15</v>
      </c>
      <c r="F5" s="9"/>
      <c r="G5" s="24"/>
      <c r="H5" s="21"/>
      <c r="K5" s="1" t="s">
        <v>13</v>
      </c>
      <c r="L5" s="1">
        <v>1</v>
      </c>
      <c r="M5" s="1" t="s">
        <v>14</v>
      </c>
      <c r="N5" s="1" t="s">
        <v>15</v>
      </c>
    </row>
    <row r="6" spans="1:18" x14ac:dyDescent="0.25">
      <c r="A6" s="3" t="s">
        <v>16</v>
      </c>
      <c r="B6" s="3">
        <v>1</v>
      </c>
      <c r="C6" s="15" t="s">
        <v>17</v>
      </c>
      <c r="D6" s="3" t="s">
        <v>18</v>
      </c>
      <c r="E6" s="3" t="s">
        <v>104</v>
      </c>
      <c r="F6" s="9"/>
      <c r="G6" s="24"/>
      <c r="H6" s="21"/>
      <c r="K6" s="1" t="s">
        <v>26</v>
      </c>
      <c r="L6" s="1">
        <v>1</v>
      </c>
      <c r="M6" s="1" t="s">
        <v>27</v>
      </c>
      <c r="N6" s="1" t="s">
        <v>28</v>
      </c>
    </row>
    <row r="7" spans="1:18" x14ac:dyDescent="0.25">
      <c r="A7" s="4" t="s">
        <v>19</v>
      </c>
      <c r="B7" s="4">
        <v>1</v>
      </c>
      <c r="C7" s="13" t="s">
        <v>110</v>
      </c>
      <c r="D7" s="4"/>
      <c r="F7" s="10"/>
      <c r="G7" s="23" t="s">
        <v>127</v>
      </c>
      <c r="H7" s="22">
        <v>100</v>
      </c>
      <c r="K7" s="1" t="s">
        <v>29</v>
      </c>
      <c r="L7" s="1">
        <v>1</v>
      </c>
      <c r="M7" s="1" t="s">
        <v>95</v>
      </c>
      <c r="N7" s="1" t="s">
        <v>96</v>
      </c>
    </row>
    <row r="8" spans="1:18" x14ac:dyDescent="0.25">
      <c r="A8" s="4" t="s">
        <v>20</v>
      </c>
      <c r="B8" s="4">
        <v>1</v>
      </c>
      <c r="C8" s="13" t="s">
        <v>21</v>
      </c>
      <c r="D8" s="4"/>
      <c r="F8" s="10"/>
      <c r="G8" s="23" t="s">
        <v>128</v>
      </c>
      <c r="H8" s="22">
        <v>100</v>
      </c>
      <c r="K8" s="1" t="s">
        <v>33</v>
      </c>
      <c r="L8" s="1">
        <v>2</v>
      </c>
      <c r="M8" s="1">
        <v>510</v>
      </c>
      <c r="N8" s="1" t="s">
        <v>34</v>
      </c>
    </row>
    <row r="9" spans="1:18" x14ac:dyDescent="0.25">
      <c r="A9" s="4" t="s">
        <v>22</v>
      </c>
      <c r="B9" s="4">
        <v>1</v>
      </c>
      <c r="C9" s="13" t="s">
        <v>23</v>
      </c>
      <c r="D9" s="4"/>
      <c r="F9" s="10"/>
      <c r="G9" s="23" t="s">
        <v>23</v>
      </c>
      <c r="H9" s="22">
        <v>100</v>
      </c>
      <c r="K9" s="1" t="s">
        <v>35</v>
      </c>
      <c r="L9" s="1">
        <v>2</v>
      </c>
      <c r="M9" s="1">
        <v>51</v>
      </c>
      <c r="N9" s="1" t="s">
        <v>36</v>
      </c>
    </row>
    <row r="10" spans="1:18" x14ac:dyDescent="0.25">
      <c r="A10" s="1" t="s">
        <v>24</v>
      </c>
      <c r="B10" s="1">
        <v>1</v>
      </c>
      <c r="C10" s="14" t="s">
        <v>25</v>
      </c>
      <c r="D10" s="1"/>
      <c r="F10" s="9"/>
      <c r="G10" s="23" t="s">
        <v>133</v>
      </c>
      <c r="H10" s="22">
        <v>3</v>
      </c>
      <c r="K10" s="1" t="s">
        <v>37</v>
      </c>
      <c r="L10" s="1">
        <v>3</v>
      </c>
      <c r="M10" s="1" t="s">
        <v>38</v>
      </c>
      <c r="N10" s="1" t="s">
        <v>39</v>
      </c>
    </row>
    <row r="11" spans="1:18" x14ac:dyDescent="0.25">
      <c r="A11" s="1" t="s">
        <v>26</v>
      </c>
      <c r="B11" s="1">
        <v>1</v>
      </c>
      <c r="C11" s="14" t="s">
        <v>27</v>
      </c>
      <c r="D11" s="1" t="s">
        <v>28</v>
      </c>
      <c r="F11" s="9"/>
      <c r="G11" s="23" t="s">
        <v>132</v>
      </c>
      <c r="H11" s="22">
        <v>3</v>
      </c>
      <c r="K11" s="1" t="s">
        <v>40</v>
      </c>
      <c r="L11" s="1">
        <v>4</v>
      </c>
      <c r="M11" s="1" t="s">
        <v>41</v>
      </c>
      <c r="N11" s="1" t="s">
        <v>42</v>
      </c>
    </row>
    <row r="12" spans="1:18" x14ac:dyDescent="0.25">
      <c r="A12" s="4" t="s">
        <v>29</v>
      </c>
      <c r="B12" s="4">
        <v>1</v>
      </c>
      <c r="C12" s="13" t="s">
        <v>30</v>
      </c>
      <c r="D12" s="4"/>
      <c r="F12" s="10"/>
      <c r="G12" s="23" t="s">
        <v>138</v>
      </c>
      <c r="H12" s="26">
        <v>10</v>
      </c>
      <c r="K12" s="2" t="s">
        <v>97</v>
      </c>
      <c r="L12" s="2">
        <v>1</v>
      </c>
      <c r="M12" s="2" t="s">
        <v>44</v>
      </c>
      <c r="N12" s="2" t="s">
        <v>45</v>
      </c>
    </row>
    <row r="13" spans="1:18" x14ac:dyDescent="0.25">
      <c r="A13" s="4" t="s">
        <v>31</v>
      </c>
      <c r="B13" s="4">
        <v>2</v>
      </c>
      <c r="C13" s="13" t="s">
        <v>111</v>
      </c>
      <c r="D13" s="4"/>
      <c r="F13" s="10"/>
      <c r="G13" s="23" t="s">
        <v>136</v>
      </c>
      <c r="H13" s="29" t="s">
        <v>137</v>
      </c>
      <c r="K13" s="1" t="s">
        <v>46</v>
      </c>
      <c r="L13" s="1">
        <v>4</v>
      </c>
      <c r="M13" s="1" t="s">
        <v>47</v>
      </c>
      <c r="N13" s="1" t="s">
        <v>48</v>
      </c>
    </row>
    <row r="14" spans="1:18" x14ac:dyDescent="0.25">
      <c r="A14" s="4" t="s">
        <v>32</v>
      </c>
      <c r="B14" s="4">
        <v>1</v>
      </c>
      <c r="C14" s="13" t="s">
        <v>111</v>
      </c>
      <c r="D14" s="4"/>
      <c r="F14" s="10"/>
      <c r="G14" s="23" t="s">
        <v>136</v>
      </c>
      <c r="H14" s="30"/>
      <c r="K14" s="2" t="s">
        <v>98</v>
      </c>
      <c r="L14" s="2">
        <v>7</v>
      </c>
      <c r="M14" s="2" t="s">
        <v>50</v>
      </c>
      <c r="N14" s="2" t="s">
        <v>51</v>
      </c>
    </row>
    <row r="15" spans="1:18" x14ac:dyDescent="0.25">
      <c r="A15" s="1" t="s">
        <v>33</v>
      </c>
      <c r="B15" s="1">
        <v>2</v>
      </c>
      <c r="C15" s="14">
        <v>510</v>
      </c>
      <c r="D15" s="1" t="s">
        <v>34</v>
      </c>
      <c r="F15" s="9"/>
      <c r="G15" s="23">
        <v>510</v>
      </c>
      <c r="H15" s="22">
        <v>10</v>
      </c>
      <c r="K15" s="1" t="s">
        <v>52</v>
      </c>
      <c r="L15" s="1">
        <v>2</v>
      </c>
      <c r="M15" s="1" t="s">
        <v>53</v>
      </c>
      <c r="N15" s="1" t="s">
        <v>54</v>
      </c>
    </row>
    <row r="16" spans="1:18" x14ac:dyDescent="0.25">
      <c r="A16" s="1" t="s">
        <v>35</v>
      </c>
      <c r="B16" s="1">
        <v>2</v>
      </c>
      <c r="C16" s="14">
        <v>51</v>
      </c>
      <c r="D16" s="1" t="s">
        <v>36</v>
      </c>
      <c r="F16" s="9"/>
      <c r="G16" s="23">
        <v>51</v>
      </c>
      <c r="H16" s="22">
        <v>10</v>
      </c>
      <c r="K16" s="1" t="s">
        <v>55</v>
      </c>
      <c r="L16" s="1">
        <v>2</v>
      </c>
      <c r="M16" s="1" t="s">
        <v>56</v>
      </c>
      <c r="N16" s="1" t="s">
        <v>57</v>
      </c>
    </row>
    <row r="17" spans="1:14" x14ac:dyDescent="0.25">
      <c r="A17" s="1" t="s">
        <v>37</v>
      </c>
      <c r="B17" s="1">
        <v>3</v>
      </c>
      <c r="C17" s="14" t="s">
        <v>38</v>
      </c>
      <c r="D17" s="1" t="s">
        <v>39</v>
      </c>
      <c r="F17" s="9"/>
      <c r="G17" s="23" t="s">
        <v>38</v>
      </c>
      <c r="H17" s="22">
        <v>10</v>
      </c>
      <c r="K17" s="1" t="s">
        <v>99</v>
      </c>
      <c r="L17" s="1">
        <v>1</v>
      </c>
      <c r="M17" s="1" t="s">
        <v>100</v>
      </c>
      <c r="N17" s="1" t="s">
        <v>101</v>
      </c>
    </row>
    <row r="18" spans="1:14" x14ac:dyDescent="0.25">
      <c r="A18" s="1" t="s">
        <v>40</v>
      </c>
      <c r="B18" s="1">
        <v>4</v>
      </c>
      <c r="C18" s="14" t="s">
        <v>41</v>
      </c>
      <c r="D18" s="1" t="s">
        <v>42</v>
      </c>
      <c r="F18" s="9"/>
      <c r="G18" s="23" t="s">
        <v>120</v>
      </c>
      <c r="H18" s="22">
        <v>20</v>
      </c>
      <c r="K18" s="1" t="s">
        <v>75</v>
      </c>
      <c r="L18" s="1">
        <v>1</v>
      </c>
      <c r="M18" s="1" t="s">
        <v>76</v>
      </c>
      <c r="N18" s="1" t="s">
        <v>77</v>
      </c>
    </row>
    <row r="19" spans="1:14" x14ac:dyDescent="0.25">
      <c r="A19" s="3" t="s">
        <v>43</v>
      </c>
      <c r="B19" s="3">
        <v>2</v>
      </c>
      <c r="C19" s="15" t="s">
        <v>44</v>
      </c>
      <c r="D19" s="3" t="s">
        <v>45</v>
      </c>
      <c r="E19" s="3" t="s">
        <v>115</v>
      </c>
      <c r="F19" s="9"/>
      <c r="G19" s="23" t="s">
        <v>122</v>
      </c>
      <c r="H19" s="22">
        <v>10</v>
      </c>
      <c r="K19" s="1" t="s">
        <v>78</v>
      </c>
      <c r="L19" s="1">
        <v>1</v>
      </c>
      <c r="M19" s="1" t="s">
        <v>79</v>
      </c>
      <c r="N19" s="1" t="s">
        <v>80</v>
      </c>
    </row>
    <row r="20" spans="1:14" x14ac:dyDescent="0.25">
      <c r="A20" s="1" t="s">
        <v>46</v>
      </c>
      <c r="B20" s="1">
        <v>4</v>
      </c>
      <c r="C20" s="14" t="s">
        <v>47</v>
      </c>
      <c r="D20" s="1" t="s">
        <v>48</v>
      </c>
      <c r="F20" s="9"/>
      <c r="G20" s="23" t="s">
        <v>123</v>
      </c>
      <c r="H20" s="22">
        <v>20</v>
      </c>
      <c r="K20" s="1" t="s">
        <v>102</v>
      </c>
      <c r="L20" s="1">
        <v>1</v>
      </c>
      <c r="M20" s="1" t="s">
        <v>85</v>
      </c>
      <c r="N20" s="1" t="s">
        <v>86</v>
      </c>
    </row>
    <row r="21" spans="1:14" x14ac:dyDescent="0.25">
      <c r="A21" s="2" t="s">
        <v>49</v>
      </c>
      <c r="B21" s="2">
        <v>10</v>
      </c>
      <c r="C21" s="16" t="s">
        <v>50</v>
      </c>
      <c r="D21" s="2" t="s">
        <v>51</v>
      </c>
      <c r="E21" s="5" t="s">
        <v>109</v>
      </c>
      <c r="F21" s="10"/>
      <c r="G21" s="23" t="s">
        <v>118</v>
      </c>
      <c r="H21" s="22">
        <v>125</v>
      </c>
      <c r="K21" s="1" t="s">
        <v>103</v>
      </c>
      <c r="L21" s="1">
        <v>1</v>
      </c>
      <c r="M21" s="1" t="s">
        <v>85</v>
      </c>
      <c r="N21" s="1" t="s">
        <v>86</v>
      </c>
    </row>
    <row r="22" spans="1:14" x14ac:dyDescent="0.25">
      <c r="A22" s="1" t="s">
        <v>52</v>
      </c>
      <c r="B22" s="1">
        <v>2</v>
      </c>
      <c r="C22" s="14" t="s">
        <v>53</v>
      </c>
      <c r="D22" s="1" t="s">
        <v>54</v>
      </c>
      <c r="F22" s="9"/>
      <c r="G22" s="23" t="s">
        <v>124</v>
      </c>
      <c r="H22" s="22">
        <v>10</v>
      </c>
    </row>
    <row r="23" spans="1:14" x14ac:dyDescent="0.25">
      <c r="A23" s="1" t="s">
        <v>55</v>
      </c>
      <c r="B23" s="1">
        <v>2</v>
      </c>
      <c r="C23" s="14" t="s">
        <v>56</v>
      </c>
      <c r="D23" s="1" t="s">
        <v>57</v>
      </c>
      <c r="F23" s="9"/>
      <c r="G23" s="23" t="s">
        <v>56</v>
      </c>
      <c r="H23" s="22">
        <v>10</v>
      </c>
    </row>
    <row r="24" spans="1:14" x14ac:dyDescent="0.25">
      <c r="A24" s="4" t="s">
        <v>58</v>
      </c>
      <c r="B24" s="4">
        <v>5</v>
      </c>
      <c r="C24" s="13" t="s">
        <v>59</v>
      </c>
      <c r="D24" s="4" t="s">
        <v>51</v>
      </c>
      <c r="F24" s="10"/>
      <c r="G24" s="23" t="s">
        <v>125</v>
      </c>
      <c r="H24" s="22">
        <v>100</v>
      </c>
    </row>
    <row r="25" spans="1:14" x14ac:dyDescent="0.25">
      <c r="A25" s="4" t="s">
        <v>60</v>
      </c>
      <c r="B25" s="4">
        <v>1</v>
      </c>
      <c r="C25" s="13">
        <v>120</v>
      </c>
      <c r="D25" s="4" t="s">
        <v>61</v>
      </c>
      <c r="F25" s="10"/>
      <c r="G25" s="23">
        <v>120</v>
      </c>
      <c r="H25" s="22">
        <v>100</v>
      </c>
    </row>
    <row r="26" spans="1:14" x14ac:dyDescent="0.25">
      <c r="A26" s="4" t="s">
        <v>62</v>
      </c>
      <c r="B26" s="4">
        <v>1</v>
      </c>
      <c r="C26" s="13">
        <v>470</v>
      </c>
      <c r="D26" s="4" t="s">
        <v>63</v>
      </c>
      <c r="F26" s="10"/>
      <c r="G26" s="23">
        <v>470</v>
      </c>
      <c r="H26" s="22">
        <v>100</v>
      </c>
    </row>
    <row r="27" spans="1:14" x14ac:dyDescent="0.25">
      <c r="A27" s="4" t="s">
        <v>64</v>
      </c>
      <c r="B27" s="4">
        <v>1</v>
      </c>
      <c r="C27" s="13">
        <v>47</v>
      </c>
      <c r="D27" s="4"/>
      <c r="F27" s="10"/>
      <c r="G27" s="23">
        <v>47</v>
      </c>
      <c r="H27" s="22">
        <v>100</v>
      </c>
    </row>
    <row r="28" spans="1:14" x14ac:dyDescent="0.25">
      <c r="A28" s="4" t="s">
        <v>65</v>
      </c>
      <c r="B28" s="4">
        <v>1</v>
      </c>
      <c r="C28" s="13" t="s">
        <v>66</v>
      </c>
      <c r="D28" s="4"/>
      <c r="F28" s="10"/>
      <c r="G28" s="23" t="s">
        <v>126</v>
      </c>
      <c r="H28" s="22">
        <v>100</v>
      </c>
    </row>
    <row r="29" spans="1:14" x14ac:dyDescent="0.25">
      <c r="A29" s="3" t="s">
        <v>67</v>
      </c>
      <c r="B29" s="3">
        <v>1</v>
      </c>
      <c r="C29" s="15" t="s">
        <v>68</v>
      </c>
      <c r="D29" s="3" t="s">
        <v>51</v>
      </c>
      <c r="E29" s="4" t="s">
        <v>105</v>
      </c>
      <c r="F29" s="10"/>
      <c r="G29" s="23" t="s">
        <v>135</v>
      </c>
      <c r="H29" s="22">
        <v>10</v>
      </c>
    </row>
    <row r="30" spans="1:14" x14ac:dyDescent="0.25">
      <c r="A30" s="4" t="s">
        <v>69</v>
      </c>
      <c r="B30" s="4">
        <v>1</v>
      </c>
      <c r="C30" s="13">
        <v>0.3</v>
      </c>
      <c r="D30" s="4" t="s">
        <v>51</v>
      </c>
      <c r="F30" s="10"/>
      <c r="G30" s="23">
        <v>0.3</v>
      </c>
      <c r="H30" s="22">
        <v>100</v>
      </c>
    </row>
    <row r="31" spans="1:14" x14ac:dyDescent="0.25">
      <c r="A31" s="7" t="s">
        <v>70</v>
      </c>
      <c r="B31" s="7">
        <v>1</v>
      </c>
      <c r="C31" s="17" t="s">
        <v>56</v>
      </c>
      <c r="D31" s="7" t="s">
        <v>51</v>
      </c>
      <c r="E31" s="7" t="s">
        <v>107</v>
      </c>
      <c r="F31" s="9"/>
      <c r="G31" s="24"/>
      <c r="H31" s="21"/>
    </row>
    <row r="32" spans="1:14" x14ac:dyDescent="0.25">
      <c r="A32" s="4" t="s">
        <v>71</v>
      </c>
      <c r="B32" s="4">
        <v>1</v>
      </c>
      <c r="C32" s="13" t="s">
        <v>72</v>
      </c>
      <c r="D32" s="4" t="s">
        <v>51</v>
      </c>
      <c r="E32" s="4" t="s">
        <v>106</v>
      </c>
      <c r="F32" s="10"/>
      <c r="G32" s="23" t="s">
        <v>72</v>
      </c>
      <c r="H32" s="22">
        <v>100</v>
      </c>
    </row>
    <row r="33" spans="1:8" x14ac:dyDescent="0.25">
      <c r="A33" s="1" t="s">
        <v>73</v>
      </c>
      <c r="B33" s="1">
        <v>1</v>
      </c>
      <c r="C33" s="14" t="s">
        <v>74</v>
      </c>
      <c r="D33" s="1" t="s">
        <v>74</v>
      </c>
      <c r="F33" s="9"/>
      <c r="G33" s="23" t="s">
        <v>134</v>
      </c>
      <c r="H33" s="22">
        <v>3</v>
      </c>
    </row>
    <row r="34" spans="1:8" x14ac:dyDescent="0.25">
      <c r="A34" s="1" t="s">
        <v>75</v>
      </c>
      <c r="B34" s="1">
        <v>1</v>
      </c>
      <c r="C34" s="14" t="s">
        <v>76</v>
      </c>
      <c r="D34" s="1" t="s">
        <v>77</v>
      </c>
      <c r="F34" s="9"/>
      <c r="G34" s="23" t="s">
        <v>141</v>
      </c>
      <c r="H34" s="22">
        <v>4</v>
      </c>
    </row>
    <row r="35" spans="1:8" x14ac:dyDescent="0.25">
      <c r="A35" s="1" t="s">
        <v>78</v>
      </c>
      <c r="B35" s="1">
        <v>1</v>
      </c>
      <c r="C35" s="14" t="s">
        <v>79</v>
      </c>
      <c r="D35" s="1" t="s">
        <v>80</v>
      </c>
      <c r="F35" s="9"/>
      <c r="G35" s="23" t="s">
        <v>117</v>
      </c>
      <c r="H35" s="22">
        <v>3</v>
      </c>
    </row>
    <row r="36" spans="1:8" x14ac:dyDescent="0.25">
      <c r="A36" s="4" t="s">
        <v>81</v>
      </c>
      <c r="B36" s="4">
        <v>1</v>
      </c>
      <c r="C36" s="13" t="s">
        <v>82</v>
      </c>
      <c r="D36" s="4" t="s">
        <v>83</v>
      </c>
      <c r="E36" s="4" t="s">
        <v>114</v>
      </c>
      <c r="F36" s="10"/>
      <c r="G36" s="23" t="s">
        <v>129</v>
      </c>
      <c r="H36" s="22">
        <v>50</v>
      </c>
    </row>
    <row r="37" spans="1:8" x14ac:dyDescent="0.25">
      <c r="A37" s="1" t="s">
        <v>84</v>
      </c>
      <c r="B37" s="1">
        <v>2</v>
      </c>
      <c r="C37" s="14" t="s">
        <v>85</v>
      </c>
      <c r="D37" s="1" t="s">
        <v>86</v>
      </c>
      <c r="F37" s="9"/>
      <c r="G37" s="23" t="s">
        <v>85</v>
      </c>
      <c r="H37" s="22">
        <v>10</v>
      </c>
    </row>
    <row r="38" spans="1:8" x14ac:dyDescent="0.25">
      <c r="A38" s="4" t="s">
        <v>87</v>
      </c>
      <c r="B38" s="4">
        <v>1</v>
      </c>
      <c r="C38" s="13" t="s">
        <v>88</v>
      </c>
      <c r="D38" s="4" t="s">
        <v>89</v>
      </c>
      <c r="F38" s="10"/>
      <c r="G38" s="23" t="s">
        <v>130</v>
      </c>
      <c r="H38" s="22">
        <v>10</v>
      </c>
    </row>
    <row r="39" spans="1:8" x14ac:dyDescent="0.25">
      <c r="A39" s="4" t="s">
        <v>90</v>
      </c>
      <c r="B39" s="4">
        <v>1</v>
      </c>
      <c r="C39" s="13" t="s">
        <v>91</v>
      </c>
      <c r="D39" s="4"/>
      <c r="F39" s="10"/>
      <c r="G39" s="23" t="s">
        <v>91</v>
      </c>
      <c r="H39" s="22">
        <v>5</v>
      </c>
    </row>
    <row r="40" spans="1:8" x14ac:dyDescent="0.25">
      <c r="A40" s="4" t="s">
        <v>92</v>
      </c>
      <c r="B40" s="4">
        <v>1</v>
      </c>
      <c r="C40" s="12" t="s">
        <v>93</v>
      </c>
      <c r="D40" s="4"/>
      <c r="F40" s="10"/>
      <c r="G40" s="23" t="s">
        <v>131</v>
      </c>
      <c r="H40" s="22">
        <v>10</v>
      </c>
    </row>
    <row r="41" spans="1:8" x14ac:dyDescent="0.25">
      <c r="F41" s="9"/>
      <c r="G41" s="24"/>
      <c r="H41" s="21"/>
    </row>
    <row r="42" spans="1:8" x14ac:dyDescent="0.25">
      <c r="F42" s="9"/>
      <c r="G42" s="24"/>
      <c r="H42" s="21"/>
    </row>
    <row r="43" spans="1:8" x14ac:dyDescent="0.25">
      <c r="A43" s="4" t="s">
        <v>112</v>
      </c>
      <c r="B43" s="4">
        <v>2</v>
      </c>
      <c r="C43" s="4" t="s">
        <v>113</v>
      </c>
      <c r="D43" s="11">
        <v>103450</v>
      </c>
      <c r="F43" s="18"/>
      <c r="G43" s="28" t="s">
        <v>142</v>
      </c>
      <c r="H43" s="22">
        <v>6</v>
      </c>
    </row>
  </sheetData>
  <mergeCells count="1">
    <mergeCell ref="H13:H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157E0-3297-492C-A662-FBA9D7839C1B}">
  <dimension ref="A1:H45"/>
  <sheetViews>
    <sheetView tabSelected="1" zoomScale="70" zoomScaleNormal="70" workbookViewId="0">
      <selection activeCell="E6" sqref="E6"/>
    </sheetView>
  </sheetViews>
  <sheetFormatPr baseColWidth="10" defaultRowHeight="15" x14ac:dyDescent="0.25"/>
  <cols>
    <col min="1" max="1" width="45.85546875" bestFit="1" customWidth="1"/>
    <col min="2" max="2" width="6.42578125" bestFit="1" customWidth="1"/>
    <col min="3" max="3" width="30.5703125" bestFit="1" customWidth="1"/>
    <col min="4" max="4" width="15.85546875" bestFit="1" customWidth="1"/>
    <col min="5" max="5" width="16.28515625" bestFit="1" customWidth="1"/>
    <col min="6" max="6" width="8.7109375" bestFit="1" customWidth="1"/>
    <col min="7" max="7" width="34.85546875" bestFit="1" customWidth="1"/>
    <col min="8" max="9" width="15.7109375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171</v>
      </c>
      <c r="E1" t="s">
        <v>172</v>
      </c>
      <c r="F1" s="8" t="s">
        <v>121</v>
      </c>
      <c r="G1" s="25" t="s">
        <v>116</v>
      </c>
      <c r="H1" s="20" t="s">
        <v>119</v>
      </c>
    </row>
    <row r="2" spans="1:8" x14ac:dyDescent="0.25">
      <c r="A2" s="31" t="s">
        <v>143</v>
      </c>
      <c r="B2">
        <v>11</v>
      </c>
      <c r="C2" s="31" t="s">
        <v>5</v>
      </c>
      <c r="D2" s="32">
        <f>Electrocardiograma[[#This Row],[Qty]]*3</f>
        <v>33</v>
      </c>
      <c r="E2" s="33"/>
      <c r="F2" s="10"/>
      <c r="G2" s="23" t="s">
        <v>5</v>
      </c>
      <c r="H2" s="22">
        <v>110</v>
      </c>
    </row>
    <row r="3" spans="1:8" x14ac:dyDescent="0.25">
      <c r="A3" s="31" t="s">
        <v>144</v>
      </c>
      <c r="B3">
        <v>4</v>
      </c>
      <c r="C3" s="31" t="s">
        <v>8</v>
      </c>
      <c r="D3" s="31">
        <f>Electrocardiograma[[#This Row],[Qty]]*3</f>
        <v>12</v>
      </c>
      <c r="E3" s="33"/>
      <c r="F3" s="9"/>
      <c r="G3" s="23" t="s">
        <v>140</v>
      </c>
      <c r="H3" s="22">
        <v>20</v>
      </c>
    </row>
    <row r="4" spans="1:8" x14ac:dyDescent="0.25">
      <c r="A4" s="31" t="s">
        <v>10</v>
      </c>
      <c r="C4" s="31" t="s">
        <v>11</v>
      </c>
      <c r="D4" s="31">
        <f>Electrocardiograma[[#This Row],[Qty]]*3</f>
        <v>0</v>
      </c>
      <c r="E4" s="32"/>
      <c r="F4" s="9"/>
      <c r="G4" s="23" t="s">
        <v>139</v>
      </c>
      <c r="H4" s="22">
        <v>10</v>
      </c>
    </row>
    <row r="5" spans="1:8" x14ac:dyDescent="0.25">
      <c r="A5" s="31" t="s">
        <v>145</v>
      </c>
      <c r="B5">
        <v>14</v>
      </c>
      <c r="C5" s="31" t="s">
        <v>139</v>
      </c>
      <c r="D5" s="31">
        <f>Electrocardiograma[[#This Row],[Qty]]*3</f>
        <v>42</v>
      </c>
      <c r="E5" s="39" t="s">
        <v>176</v>
      </c>
      <c r="F5" s="9"/>
      <c r="G5" s="24"/>
      <c r="H5" s="21"/>
    </row>
    <row r="6" spans="1:8" x14ac:dyDescent="0.25">
      <c r="A6" s="31" t="s">
        <v>13</v>
      </c>
      <c r="B6">
        <v>1</v>
      </c>
      <c r="C6" s="31" t="s">
        <v>14</v>
      </c>
      <c r="D6" s="31">
        <f>Electrocardiograma[[#This Row],[Qty]]*3</f>
        <v>3</v>
      </c>
      <c r="E6" s="34"/>
      <c r="F6" s="9"/>
      <c r="G6" s="24"/>
      <c r="H6" s="21"/>
    </row>
    <row r="7" spans="1:8" x14ac:dyDescent="0.25">
      <c r="A7" s="31" t="s">
        <v>16</v>
      </c>
      <c r="B7">
        <v>1</v>
      </c>
      <c r="C7" s="31" t="s">
        <v>17</v>
      </c>
      <c r="D7" s="31">
        <f>Electrocardiograma[[#This Row],[Qty]]*3</f>
        <v>3</v>
      </c>
      <c r="E7" s="35"/>
      <c r="F7" s="10"/>
      <c r="G7" s="23" t="s">
        <v>127</v>
      </c>
      <c r="H7" s="22">
        <v>100</v>
      </c>
    </row>
    <row r="8" spans="1:8" x14ac:dyDescent="0.25">
      <c r="A8" s="31" t="s">
        <v>19</v>
      </c>
      <c r="B8">
        <v>1</v>
      </c>
      <c r="C8" s="31" t="s">
        <v>127</v>
      </c>
      <c r="D8" s="31">
        <f>Electrocardiograma[[#This Row],[Qty]]*3</f>
        <v>3</v>
      </c>
      <c r="E8" s="35"/>
      <c r="F8" s="10"/>
      <c r="G8" s="23" t="s">
        <v>128</v>
      </c>
      <c r="H8" s="22">
        <v>100</v>
      </c>
    </row>
    <row r="9" spans="1:8" x14ac:dyDescent="0.25">
      <c r="A9" s="31" t="s">
        <v>147</v>
      </c>
      <c r="B9">
        <v>2</v>
      </c>
      <c r="C9" s="31" t="s">
        <v>21</v>
      </c>
      <c r="D9" s="31">
        <f>Electrocardiograma[[#This Row],[Qty]]*3</f>
        <v>6</v>
      </c>
      <c r="E9" s="35"/>
      <c r="F9" s="10"/>
      <c r="G9" s="23" t="s">
        <v>23</v>
      </c>
      <c r="H9" s="22">
        <v>100</v>
      </c>
    </row>
    <row r="10" spans="1:8" x14ac:dyDescent="0.25">
      <c r="A10" s="31" t="s">
        <v>22</v>
      </c>
      <c r="B10">
        <v>1</v>
      </c>
      <c r="C10" s="31" t="s">
        <v>23</v>
      </c>
      <c r="D10" s="31">
        <f>Electrocardiograma[[#This Row],[Qty]]*3</f>
        <v>3</v>
      </c>
      <c r="E10" s="35"/>
      <c r="F10" s="9"/>
      <c r="G10" s="23" t="s">
        <v>133</v>
      </c>
      <c r="H10" s="22">
        <v>3</v>
      </c>
    </row>
    <row r="11" spans="1:8" x14ac:dyDescent="0.25">
      <c r="A11" s="31" t="s">
        <v>24</v>
      </c>
      <c r="B11">
        <v>1</v>
      </c>
      <c r="C11" s="31" t="s">
        <v>25</v>
      </c>
      <c r="D11" s="31">
        <f>Electrocardiograma[[#This Row],[Qty]]*3</f>
        <v>3</v>
      </c>
      <c r="E11" s="35"/>
      <c r="F11" s="9"/>
      <c r="G11" s="23" t="s">
        <v>132</v>
      </c>
      <c r="H11" s="22">
        <v>3</v>
      </c>
    </row>
    <row r="12" spans="1:8" x14ac:dyDescent="0.25">
      <c r="A12" s="31" t="s">
        <v>26</v>
      </c>
      <c r="B12">
        <v>1</v>
      </c>
      <c r="C12" s="31" t="s">
        <v>27</v>
      </c>
      <c r="D12" s="31">
        <f>Electrocardiograma[[#This Row],[Qty]]*3</f>
        <v>3</v>
      </c>
      <c r="E12" s="35"/>
      <c r="F12" s="10"/>
      <c r="G12" s="23" t="s">
        <v>138</v>
      </c>
      <c r="H12" s="26">
        <v>10</v>
      </c>
    </row>
    <row r="13" spans="1:8" x14ac:dyDescent="0.25">
      <c r="A13" s="31" t="s">
        <v>29</v>
      </c>
      <c r="B13">
        <v>1</v>
      </c>
      <c r="C13" s="31" t="s">
        <v>30</v>
      </c>
      <c r="D13" s="31">
        <f>Electrocardiograma[[#This Row],[Qty]]*3</f>
        <v>3</v>
      </c>
      <c r="E13" s="35"/>
      <c r="F13" s="10"/>
      <c r="G13" s="23" t="s">
        <v>136</v>
      </c>
      <c r="H13" s="27" t="s">
        <v>137</v>
      </c>
    </row>
    <row r="14" spans="1:8" x14ac:dyDescent="0.25">
      <c r="A14" s="31" t="s">
        <v>31</v>
      </c>
      <c r="B14">
        <v>2</v>
      </c>
      <c r="C14" s="31" t="s">
        <v>27</v>
      </c>
      <c r="D14" s="31">
        <f>Electrocardiograma[[#This Row],[Qty]]*3</f>
        <v>6</v>
      </c>
      <c r="E14" s="35"/>
      <c r="F14" s="10"/>
      <c r="G14" s="23" t="s">
        <v>136</v>
      </c>
      <c r="H14" s="28"/>
    </row>
    <row r="15" spans="1:8" x14ac:dyDescent="0.25">
      <c r="A15" s="31" t="s">
        <v>32</v>
      </c>
      <c r="B15">
        <v>1</v>
      </c>
      <c r="C15" s="31" t="s">
        <v>148</v>
      </c>
      <c r="D15" s="31">
        <f>Electrocardiograma[[#This Row],[Qty]]*3</f>
        <v>3</v>
      </c>
      <c r="E15" s="35"/>
      <c r="F15" s="9"/>
      <c r="G15" s="23">
        <v>510</v>
      </c>
      <c r="H15" s="22">
        <v>10</v>
      </c>
    </row>
    <row r="16" spans="1:8" x14ac:dyDescent="0.25">
      <c r="A16" s="31" t="s">
        <v>33</v>
      </c>
      <c r="B16">
        <v>2</v>
      </c>
      <c r="C16" s="31" t="s">
        <v>149</v>
      </c>
      <c r="D16" s="31">
        <f>Electrocardiograma[[#This Row],[Qty]]*3</f>
        <v>6</v>
      </c>
      <c r="E16" s="35"/>
      <c r="F16" s="9"/>
      <c r="G16" s="23">
        <v>51</v>
      </c>
      <c r="H16" s="22">
        <v>10</v>
      </c>
    </row>
    <row r="17" spans="1:8" x14ac:dyDescent="0.25">
      <c r="A17" s="31" t="s">
        <v>35</v>
      </c>
      <c r="B17">
        <v>2</v>
      </c>
      <c r="C17" s="31" t="s">
        <v>150</v>
      </c>
      <c r="D17" s="31">
        <f>Electrocardiograma[[#This Row],[Qty]]*3</f>
        <v>6</v>
      </c>
      <c r="E17" s="35"/>
      <c r="F17" s="9"/>
      <c r="G17" s="23" t="s">
        <v>38</v>
      </c>
      <c r="H17" s="22">
        <v>10</v>
      </c>
    </row>
    <row r="18" spans="1:8" x14ac:dyDescent="0.25">
      <c r="A18" s="31" t="s">
        <v>151</v>
      </c>
      <c r="B18">
        <v>3</v>
      </c>
      <c r="C18" s="31" t="s">
        <v>123</v>
      </c>
      <c r="D18" s="31">
        <f>Electrocardiograma[[#This Row],[Qty]]*3</f>
        <v>9</v>
      </c>
      <c r="E18" s="35"/>
      <c r="F18" s="9"/>
      <c r="G18" s="23" t="s">
        <v>120</v>
      </c>
      <c r="H18" s="22">
        <v>20</v>
      </c>
    </row>
    <row r="19" spans="1:8" x14ac:dyDescent="0.25">
      <c r="A19" s="31" t="s">
        <v>152</v>
      </c>
      <c r="B19">
        <v>1</v>
      </c>
      <c r="C19" s="31" t="s">
        <v>38</v>
      </c>
      <c r="D19" s="31">
        <f>Electrocardiograma[[#This Row],[Qty]]*3</f>
        <v>3</v>
      </c>
      <c r="E19" s="35"/>
      <c r="F19" s="9"/>
      <c r="G19" s="23" t="s">
        <v>122</v>
      </c>
      <c r="H19" s="22">
        <v>10</v>
      </c>
    </row>
    <row r="20" spans="1:8" x14ac:dyDescent="0.25">
      <c r="A20" s="31" t="s">
        <v>40</v>
      </c>
      <c r="B20">
        <v>4</v>
      </c>
      <c r="C20" s="31" t="s">
        <v>41</v>
      </c>
      <c r="D20" s="31">
        <f>Electrocardiograma[[#This Row],[Qty]]*3</f>
        <v>12</v>
      </c>
      <c r="E20" s="35"/>
      <c r="F20" s="9"/>
      <c r="G20" s="23" t="s">
        <v>123</v>
      </c>
      <c r="H20" s="22">
        <v>20</v>
      </c>
    </row>
    <row r="21" spans="1:8" x14ac:dyDescent="0.25">
      <c r="A21" s="31" t="s">
        <v>153</v>
      </c>
      <c r="B21">
        <v>3</v>
      </c>
      <c r="C21" s="31" t="s">
        <v>154</v>
      </c>
      <c r="D21" s="31">
        <f>Electrocardiograma[[#This Row],[Qty]]*3</f>
        <v>9</v>
      </c>
      <c r="E21" s="38" t="s">
        <v>175</v>
      </c>
      <c r="F21" s="10"/>
      <c r="G21" s="23" t="s">
        <v>118</v>
      </c>
      <c r="H21" s="22">
        <v>125</v>
      </c>
    </row>
    <row r="22" spans="1:8" x14ac:dyDescent="0.25">
      <c r="A22" s="31" t="s">
        <v>155</v>
      </c>
      <c r="B22">
        <v>1</v>
      </c>
      <c r="C22" s="31" t="s">
        <v>156</v>
      </c>
      <c r="D22" s="31">
        <f>Electrocardiograma[[#This Row],[Qty]]*3</f>
        <v>3</v>
      </c>
      <c r="E22" s="38" t="s">
        <v>175</v>
      </c>
      <c r="F22" s="9"/>
      <c r="G22" s="23" t="s">
        <v>124</v>
      </c>
      <c r="H22" s="22">
        <v>10</v>
      </c>
    </row>
    <row r="23" spans="1:8" x14ac:dyDescent="0.25">
      <c r="A23" s="31" t="s">
        <v>157</v>
      </c>
      <c r="B23">
        <v>7</v>
      </c>
      <c r="C23" s="31" t="s">
        <v>158</v>
      </c>
      <c r="D23" s="31">
        <f>Electrocardiograma[[#This Row],[Qty]]*3</f>
        <v>21</v>
      </c>
      <c r="E23" s="38" t="s">
        <v>175</v>
      </c>
      <c r="F23" s="9"/>
      <c r="G23" s="23" t="s">
        <v>56</v>
      </c>
      <c r="H23" s="22">
        <v>10</v>
      </c>
    </row>
    <row r="24" spans="1:8" x14ac:dyDescent="0.25">
      <c r="A24" s="31" t="s">
        <v>159</v>
      </c>
      <c r="B24">
        <v>0</v>
      </c>
      <c r="C24" s="31" t="s">
        <v>47</v>
      </c>
      <c r="D24" s="31">
        <f>Electrocardiograma[[#This Row],[Qty]]*3</f>
        <v>0</v>
      </c>
      <c r="E24" s="31"/>
      <c r="F24" s="10"/>
      <c r="G24" s="23" t="s">
        <v>125</v>
      </c>
      <c r="H24" s="22">
        <v>100</v>
      </c>
    </row>
    <row r="25" spans="1:8" x14ac:dyDescent="0.25">
      <c r="A25" s="31" t="s">
        <v>160</v>
      </c>
      <c r="B25">
        <v>3</v>
      </c>
      <c r="C25" s="31" t="s">
        <v>50</v>
      </c>
      <c r="D25" s="31">
        <f>Electrocardiograma[[#This Row],[Qty]]*3</f>
        <v>9</v>
      </c>
      <c r="E25" s="36"/>
      <c r="F25" s="10"/>
      <c r="G25" s="23">
        <v>120</v>
      </c>
      <c r="H25" s="22">
        <v>100</v>
      </c>
    </row>
    <row r="26" spans="1:8" x14ac:dyDescent="0.25">
      <c r="A26" s="31" t="s">
        <v>161</v>
      </c>
      <c r="B26">
        <v>9</v>
      </c>
      <c r="C26" s="31" t="s">
        <v>59</v>
      </c>
      <c r="D26" s="31">
        <f>Electrocardiograma[[#This Row],[Qty]]*3</f>
        <v>27</v>
      </c>
      <c r="E26" s="36"/>
      <c r="F26" s="10"/>
      <c r="G26" s="23">
        <v>470</v>
      </c>
      <c r="H26" s="22">
        <v>100</v>
      </c>
    </row>
    <row r="27" spans="1:8" x14ac:dyDescent="0.25">
      <c r="A27" s="31" t="s">
        <v>162</v>
      </c>
      <c r="B27">
        <v>0</v>
      </c>
      <c r="C27" s="31" t="s">
        <v>56</v>
      </c>
      <c r="D27" s="31">
        <f>Electrocardiograma[[#This Row],[Qty]]*3</f>
        <v>0</v>
      </c>
      <c r="E27" s="31"/>
      <c r="F27" s="10"/>
      <c r="G27" s="23">
        <v>47</v>
      </c>
      <c r="H27" s="22">
        <v>100</v>
      </c>
    </row>
    <row r="28" spans="1:8" x14ac:dyDescent="0.25">
      <c r="A28" s="31" t="s">
        <v>55</v>
      </c>
      <c r="B28">
        <v>0</v>
      </c>
      <c r="C28" s="31" t="s">
        <v>56</v>
      </c>
      <c r="D28" s="31">
        <f>Electrocardiograma[[#This Row],[Qty]]*3</f>
        <v>0</v>
      </c>
      <c r="E28" s="31"/>
      <c r="F28" s="10"/>
      <c r="G28" s="23" t="s">
        <v>126</v>
      </c>
      <c r="H28" s="22">
        <v>100</v>
      </c>
    </row>
    <row r="29" spans="1:8" x14ac:dyDescent="0.25">
      <c r="A29" s="31" t="s">
        <v>163</v>
      </c>
      <c r="B29">
        <v>6</v>
      </c>
      <c r="C29" s="31" t="s">
        <v>164</v>
      </c>
      <c r="D29" s="31">
        <f>Electrocardiograma[[#This Row],[Qty]]*3</f>
        <v>18</v>
      </c>
      <c r="E29" s="36"/>
      <c r="F29" s="10"/>
      <c r="G29" s="23" t="s">
        <v>135</v>
      </c>
      <c r="H29" s="22">
        <v>10</v>
      </c>
    </row>
    <row r="30" spans="1:8" x14ac:dyDescent="0.25">
      <c r="A30" s="31" t="s">
        <v>165</v>
      </c>
      <c r="B30">
        <v>2</v>
      </c>
      <c r="C30" s="31" t="s">
        <v>166</v>
      </c>
      <c r="D30" s="31">
        <f>Electrocardiograma[[#This Row],[Qty]]*3</f>
        <v>6</v>
      </c>
      <c r="E30" s="36"/>
      <c r="F30" s="10"/>
      <c r="G30" s="23">
        <v>0.3</v>
      </c>
      <c r="H30" s="22">
        <v>100</v>
      </c>
    </row>
    <row r="31" spans="1:8" x14ac:dyDescent="0.25">
      <c r="A31" s="31" t="s">
        <v>64</v>
      </c>
      <c r="B31">
        <v>1</v>
      </c>
      <c r="C31" s="31" t="s">
        <v>167</v>
      </c>
      <c r="D31" s="31">
        <f>Electrocardiograma[[#This Row],[Qty]]*3</f>
        <v>3</v>
      </c>
      <c r="E31" s="36"/>
      <c r="F31" s="9"/>
      <c r="G31" s="24"/>
      <c r="H31" s="21"/>
    </row>
    <row r="32" spans="1:8" x14ac:dyDescent="0.25">
      <c r="A32" s="31" t="s">
        <v>168</v>
      </c>
      <c r="B32">
        <v>1</v>
      </c>
      <c r="C32" s="31" t="s">
        <v>44</v>
      </c>
      <c r="D32" s="31">
        <f>Electrocardiograma[[#This Row],[Qty]]*3</f>
        <v>3</v>
      </c>
      <c r="E32" s="36"/>
      <c r="F32" s="10"/>
      <c r="G32" s="23" t="s">
        <v>72</v>
      </c>
      <c r="H32" s="22">
        <v>100</v>
      </c>
    </row>
    <row r="33" spans="1:8" x14ac:dyDescent="0.25">
      <c r="A33" s="31" t="s">
        <v>65</v>
      </c>
      <c r="B33">
        <v>1</v>
      </c>
      <c r="C33" s="31" t="s">
        <v>66</v>
      </c>
      <c r="D33" s="31">
        <f>Electrocardiograma[[#This Row],[Qty]]*3</f>
        <v>3</v>
      </c>
      <c r="E33" s="36"/>
      <c r="F33" s="9"/>
      <c r="G33" s="23" t="s">
        <v>134</v>
      </c>
      <c r="H33" s="22">
        <v>3</v>
      </c>
    </row>
    <row r="34" spans="1:8" x14ac:dyDescent="0.25">
      <c r="A34" s="31" t="s">
        <v>67</v>
      </c>
      <c r="B34">
        <v>1</v>
      </c>
      <c r="C34" s="31" t="s">
        <v>68</v>
      </c>
      <c r="D34" s="31">
        <f>Electrocardiograma[[#This Row],[Qty]]*3</f>
        <v>3</v>
      </c>
      <c r="E34" s="37" t="s">
        <v>173</v>
      </c>
      <c r="F34" s="9"/>
      <c r="G34" s="23" t="s">
        <v>141</v>
      </c>
      <c r="H34" s="22">
        <v>4</v>
      </c>
    </row>
    <row r="35" spans="1:8" x14ac:dyDescent="0.25">
      <c r="A35" s="31" t="s">
        <v>69</v>
      </c>
      <c r="B35">
        <v>1</v>
      </c>
      <c r="C35" s="31" t="s">
        <v>169</v>
      </c>
      <c r="D35" s="31">
        <f>Electrocardiograma[[#This Row],[Qty]]*3</f>
        <v>3</v>
      </c>
      <c r="E35" s="36"/>
      <c r="F35" s="9"/>
      <c r="G35" s="23" t="s">
        <v>117</v>
      </c>
      <c r="H35" s="22">
        <v>3</v>
      </c>
    </row>
    <row r="36" spans="1:8" x14ac:dyDescent="0.25">
      <c r="A36" s="31" t="s">
        <v>71</v>
      </c>
      <c r="B36">
        <v>1</v>
      </c>
      <c r="C36" s="31" t="s">
        <v>72</v>
      </c>
      <c r="D36" s="31">
        <f>Electrocardiograma[[#This Row],[Qty]]*3</f>
        <v>3</v>
      </c>
      <c r="E36" s="36"/>
      <c r="F36" s="10"/>
      <c r="G36" s="23" t="s">
        <v>129</v>
      </c>
      <c r="H36" s="22">
        <v>50</v>
      </c>
    </row>
    <row r="37" spans="1:8" x14ac:dyDescent="0.25">
      <c r="A37" s="31" t="s">
        <v>170</v>
      </c>
      <c r="B37">
        <v>0</v>
      </c>
      <c r="C37" s="31" t="s">
        <v>125</v>
      </c>
      <c r="D37" s="31">
        <f>Electrocardiograma[[#This Row],[Qty]]*3</f>
        <v>0</v>
      </c>
      <c r="E37" s="31"/>
      <c r="F37" s="9"/>
      <c r="G37" s="23" t="s">
        <v>85</v>
      </c>
      <c r="H37" s="22">
        <v>10</v>
      </c>
    </row>
    <row r="38" spans="1:8" x14ac:dyDescent="0.25">
      <c r="A38" s="31" t="s">
        <v>73</v>
      </c>
      <c r="B38">
        <v>1</v>
      </c>
      <c r="C38" s="31" t="s">
        <v>74</v>
      </c>
      <c r="D38" s="31">
        <f>Electrocardiograma[[#This Row],[Qty]]*3</f>
        <v>3</v>
      </c>
      <c r="E38" s="36"/>
      <c r="F38" s="10"/>
      <c r="G38" s="23" t="s">
        <v>130</v>
      </c>
      <c r="H38" s="22">
        <v>10</v>
      </c>
    </row>
    <row r="39" spans="1:8" x14ac:dyDescent="0.25">
      <c r="A39" s="31" t="s">
        <v>75</v>
      </c>
      <c r="B39">
        <v>1</v>
      </c>
      <c r="C39" s="31" t="s">
        <v>76</v>
      </c>
      <c r="D39" s="31">
        <f>Electrocardiograma[[#This Row],[Qty]]*3</f>
        <v>3</v>
      </c>
      <c r="E39" s="36"/>
      <c r="F39" s="10"/>
      <c r="G39" s="23" t="s">
        <v>91</v>
      </c>
      <c r="H39" s="22">
        <v>5</v>
      </c>
    </row>
    <row r="40" spans="1:8" x14ac:dyDescent="0.25">
      <c r="A40" s="31" t="s">
        <v>78</v>
      </c>
      <c r="B40">
        <v>1</v>
      </c>
      <c r="C40" s="31" t="s">
        <v>79</v>
      </c>
      <c r="D40" s="31">
        <f>Electrocardiograma[[#This Row],[Qty]]*3</f>
        <v>3</v>
      </c>
      <c r="E40" s="36"/>
      <c r="F40" s="10"/>
      <c r="G40" s="23" t="s">
        <v>131</v>
      </c>
      <c r="H40" s="22">
        <v>10</v>
      </c>
    </row>
    <row r="41" spans="1:8" x14ac:dyDescent="0.25">
      <c r="A41" s="31" t="s">
        <v>81</v>
      </c>
      <c r="B41">
        <v>1</v>
      </c>
      <c r="C41" s="31" t="s">
        <v>82</v>
      </c>
      <c r="D41" s="31">
        <f>Electrocardiograma[[#This Row],[Qty]]*3</f>
        <v>3</v>
      </c>
      <c r="E41" s="36"/>
      <c r="F41" s="9"/>
      <c r="G41" s="24"/>
      <c r="H41" s="21"/>
    </row>
    <row r="42" spans="1:8" x14ac:dyDescent="0.25">
      <c r="A42" s="31" t="s">
        <v>84</v>
      </c>
      <c r="B42">
        <v>2</v>
      </c>
      <c r="C42" s="31" t="s">
        <v>85</v>
      </c>
      <c r="D42" s="31">
        <f>Electrocardiograma[[#This Row],[Qty]]*3</f>
        <v>6</v>
      </c>
      <c r="E42" s="36"/>
      <c r="F42" s="9"/>
      <c r="G42" s="24"/>
      <c r="H42" s="21"/>
    </row>
    <row r="43" spans="1:8" x14ac:dyDescent="0.25">
      <c r="A43" s="31" t="s">
        <v>87</v>
      </c>
      <c r="B43">
        <v>1</v>
      </c>
      <c r="C43" s="31" t="s">
        <v>88</v>
      </c>
      <c r="D43" s="31">
        <f>Electrocardiograma[[#This Row],[Qty]]*3</f>
        <v>3</v>
      </c>
      <c r="E43" s="37" t="s">
        <v>174</v>
      </c>
      <c r="F43" s="18"/>
      <c r="G43" s="28" t="s">
        <v>142</v>
      </c>
      <c r="H43" s="22">
        <v>6</v>
      </c>
    </row>
    <row r="44" spans="1:8" x14ac:dyDescent="0.25">
      <c r="A44" s="31" t="s">
        <v>90</v>
      </c>
      <c r="B44">
        <v>1</v>
      </c>
      <c r="C44" s="31" t="s">
        <v>91</v>
      </c>
      <c r="D44" s="31">
        <f>Electrocardiograma[[#This Row],[Qty]]*3</f>
        <v>3</v>
      </c>
      <c r="E44" s="36"/>
    </row>
    <row r="45" spans="1:8" x14ac:dyDescent="0.25">
      <c r="A45" s="31" t="s">
        <v>92</v>
      </c>
      <c r="B45">
        <v>1</v>
      </c>
      <c r="C45" s="31" t="s">
        <v>93</v>
      </c>
      <c r="D45" s="31">
        <f>Electrocardiograma[[#This Row],[Qty]]*3</f>
        <v>3</v>
      </c>
      <c r="E45" s="36"/>
    </row>
  </sheetData>
  <phoneticPr fontId="19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99870BE-743D-4E3F-B1AE-3EBEFFEBE30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Electrocardiograma</vt:lpstr>
      <vt:lpstr>Electrocardiograma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Saile</dc:creator>
  <cp:lastModifiedBy>Juan Escobar Mena (Alumno)</cp:lastModifiedBy>
  <dcterms:created xsi:type="dcterms:W3CDTF">2026-07-15T02:05:29Z</dcterms:created>
  <dcterms:modified xsi:type="dcterms:W3CDTF">2026-08-30T20:45:18Z</dcterms:modified>
</cp:coreProperties>
</file>