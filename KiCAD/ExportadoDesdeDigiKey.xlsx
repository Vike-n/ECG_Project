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le\Downloads\"/>
    </mc:Choice>
  </mc:AlternateContent>
  <xr:revisionPtr revIDLastSave="0" documentId="13_ncr:1_{2088B7EA-4C90-4DD9-84D9-5902CAE3F0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y Lists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</calcChain>
</file>

<file path=xl/sharedStrings.xml><?xml version="1.0" encoding="utf-8"?>
<sst xmlns="http://schemas.openxmlformats.org/spreadsheetml/2006/main" count="259" uniqueCount="135">
  <si>
    <t>Índice</t>
  </si>
  <si>
    <t>Número de pieza del fabricante</t>
  </si>
  <si>
    <t>Plazo de entrega</t>
  </si>
  <si>
    <t>Disponibilidad</t>
  </si>
  <si>
    <t>Estado de existencias</t>
  </si>
  <si>
    <t>Ensambles</t>
  </si>
  <si>
    <t>% de pérdidas</t>
  </si>
  <si>
    <t>Cantidad solicitada 1</t>
  </si>
  <si>
    <t>Cantidad de paquete 1</t>
  </si>
  <si>
    <t>Tipo de paquete 1</t>
  </si>
  <si>
    <t>Número de pieza de Digi-Key 1</t>
  </si>
  <si>
    <t>Precio por unidad 1</t>
  </si>
  <si>
    <t>Precio extendido 1</t>
  </si>
  <si>
    <t>Cantidad mínima del pedido 1</t>
  </si>
  <si>
    <t>Referencia del cliente</t>
  </si>
  <si>
    <t>Número de pieza solicitado</t>
  </si>
  <si>
    <t>Semanas de entrega</t>
  </si>
  <si>
    <t>Hoja de datos</t>
  </si>
  <si>
    <t>Notas del producto</t>
  </si>
  <si>
    <t>CL21A106KOQNNNE</t>
  </si>
  <si>
    <t/>
  </si>
  <si>
    <t>1,795,621</t>
  </si>
  <si>
    <t>En stock</t>
  </si>
  <si>
    <t>Cut Tape (CT)</t>
  </si>
  <si>
    <t>1276-1096-1-ND</t>
  </si>
  <si>
    <t>0.06100</t>
  </si>
  <si>
    <t>C1,C2,C7,C9,C10</t>
  </si>
  <si>
    <t>29</t>
  </si>
  <si>
    <t>https://mm.digikey.com/Volume0/opasdata/d220001/medias/docus/609/CL21A106KOQNNNE_Spec.pdf</t>
  </si>
  <si>
    <t>1206B104K101CT</t>
  </si>
  <si>
    <t>27,038</t>
  </si>
  <si>
    <t>1292-1206B104K101CT-ND</t>
  </si>
  <si>
    <t>0.05600</t>
  </si>
  <si>
    <t>C3,C4,C5,C6,C8,C13</t>
  </si>
  <si>
    <t>20</t>
  </si>
  <si>
    <t>https://www.passivecomponent.com/wp-content/uploads/datasheet/WTC_MLCC_General_Purpose.pdf</t>
  </si>
  <si>
    <t>GRM2195C1H103JA01D</t>
  </si>
  <si>
    <t>236,346</t>
  </si>
  <si>
    <t>490-1642-1-ND</t>
  </si>
  <si>
    <t>0.20000</t>
  </si>
  <si>
    <t>C11,C12</t>
  </si>
  <si>
    <t>17</t>
  </si>
  <si>
    <t>https://search.murata.co.jp/Ceramy/image/img/A01X/G101/ENG/GRM2195C1H103JA01-01.pdf</t>
  </si>
  <si>
    <t>PESD2CAN24XLT-QR</t>
  </si>
  <si>
    <t>2,958</t>
  </si>
  <si>
    <t>1727-PESD2CAN24XLT-QRCT-ND</t>
  </si>
  <si>
    <t>0.42000</t>
  </si>
  <si>
    <t>D1</t>
  </si>
  <si>
    <t>10</t>
  </si>
  <si>
    <t>https://assets.nexperia.com/documents/data-sheet/PESD2CAN24XLT-Q.pdf</t>
  </si>
  <si>
    <t>B2B-XH-A</t>
  </si>
  <si>
    <t>20,306</t>
  </si>
  <si>
    <t>Bulk</t>
  </si>
  <si>
    <t>455-B2B-XH-A-ND</t>
  </si>
  <si>
    <t>0.10000</t>
  </si>
  <si>
    <t>J2</t>
  </si>
  <si>
    <t>16</t>
  </si>
  <si>
    <t>https://www.jst-mfg.com/product/pdf/eng/eXH.pdf</t>
  </si>
  <si>
    <t>54-00174</t>
  </si>
  <si>
    <t>29,461</t>
  </si>
  <si>
    <t>839-54-00174CT-ND</t>
  </si>
  <si>
    <t>0.70000</t>
  </si>
  <si>
    <t>J3</t>
  </si>
  <si>
    <t>https://tensility.s3.us-west-2.amazonaws.com/uploads/pdffiles/54-00174.pdf</t>
  </si>
  <si>
    <t>ERA-6AEB511V</t>
  </si>
  <si>
    <t>9,965</t>
  </si>
  <si>
    <t>P510DACT-ND</t>
  </si>
  <si>
    <t>R1,R2</t>
  </si>
  <si>
    <t>13</t>
  </si>
  <si>
    <t>https://industrial.panasonic.com/cdbs/www-data/pdf/RDM0000/AOA0000C307.pdf</t>
  </si>
  <si>
    <t>RC0805FR-0751RL</t>
  </si>
  <si>
    <t>359,386</t>
  </si>
  <si>
    <t>311-51.0CRCT-ND</t>
  </si>
  <si>
    <t>R3,R13</t>
  </si>
  <si>
    <t>https://yageogroup.com/content/datasheet/asset/file/PYU-RC_GROUP_51_ROHS_L</t>
  </si>
  <si>
    <t>ERA-6AEB334V</t>
  </si>
  <si>
    <t>67,058</t>
  </si>
  <si>
    <t>P330KDACT-ND</t>
  </si>
  <si>
    <t>R4,R5,R25</t>
  </si>
  <si>
    <t>12</t>
  </si>
  <si>
    <t>ERA-6AEB3162V</t>
  </si>
  <si>
    <t>18,531</t>
  </si>
  <si>
    <t>P31.6KDACT-ND</t>
  </si>
  <si>
    <t>0.07000</t>
  </si>
  <si>
    <t>R6,R7,R8,R9</t>
  </si>
  <si>
    <t>ERA-6AEB223V</t>
  </si>
  <si>
    <t>1,507</t>
  </si>
  <si>
    <t>P22KDACT-ND</t>
  </si>
  <si>
    <t>R10</t>
  </si>
  <si>
    <t>ERA-6AEB333V</t>
  </si>
  <si>
    <t>43,688</t>
  </si>
  <si>
    <t>P33KDACT-ND</t>
  </si>
  <si>
    <t>R11,R14,R15,R24</t>
  </si>
  <si>
    <t>ERA-6AEB104V</t>
  </si>
  <si>
    <t>318,622</t>
  </si>
  <si>
    <t>P100KDACT-ND</t>
  </si>
  <si>
    <t>R12,R16,R18,R19,R20,R22,R23</t>
  </si>
  <si>
    <t>RC0805FR-0726K7L</t>
  </si>
  <si>
    <t>105,034</t>
  </si>
  <si>
    <t>311-26.7KCRCT-ND</t>
  </si>
  <si>
    <t>R17,R21</t>
  </si>
  <si>
    <t>RR1220P-102-D</t>
  </si>
  <si>
    <t>1,806,059</t>
  </si>
  <si>
    <t>RR12P1.0KDCT-ND</t>
  </si>
  <si>
    <t>R26,R27</t>
  </si>
  <si>
    <t>22</t>
  </si>
  <si>
    <t>https://www.susumu.co.jp/common/pdf/n_catalog_partition05_en.pdf</t>
  </si>
  <si>
    <t>SLW-129956-4A-RA-N-D</t>
  </si>
  <si>
    <t>2,243</t>
  </si>
  <si>
    <t>Box</t>
  </si>
  <si>
    <t>2223-SLW-129956-4A-RA-N-D-ND</t>
  </si>
  <si>
    <t>0.38000</t>
  </si>
  <si>
    <t>SW1</t>
  </si>
  <si>
    <t>https://www.sameskydevices.com/product/resource/slw-129956-4a-ra-n-d.pdf</t>
  </si>
  <si>
    <t>INA823DGKT</t>
  </si>
  <si>
    <t>442</t>
  </si>
  <si>
    <t>296-INA823DGKTCT-ND</t>
  </si>
  <si>
    <t>3.62000</t>
  </si>
  <si>
    <t>U1</t>
  </si>
  <si>
    <t>https://www.ti.com/lit/ds/symlink/ina823.pdf</t>
  </si>
  <si>
    <t>ESP32-C3-WROOM-02-H4</t>
  </si>
  <si>
    <t>703</t>
  </si>
  <si>
    <t>1965-ESP32-C3-WROOM-02-H4CT-ND</t>
  </si>
  <si>
    <t>U2</t>
  </si>
  <si>
    <t>1965-ESP32-C3-WROOM-02-H4TR-ND</t>
  </si>
  <si>
    <t>8</t>
  </si>
  <si>
    <t>https://www.espressif.com/sites/default/files/documentation/esp32-c3-wroom-02_datasheet_en.pdf</t>
  </si>
  <si>
    <t>TLV4888DR</t>
  </si>
  <si>
    <t>2,979</t>
  </si>
  <si>
    <t>296-TLV4888DRCT-ND</t>
  </si>
  <si>
    <t>1.79000</t>
  </si>
  <si>
    <t>U4</t>
  </si>
  <si>
    <t>18</t>
  </si>
  <si>
    <t>https://www.ti.com/lit/ds/symlink/tlv4888.pdf?ts=1770078301548&amp;ref_url=https%253A%252F%252Fwww.ti.com%252Fproduct%252FTLV4888%253Fjktype%253Dhomepageproduct</t>
  </si>
  <si>
    <t>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</si>
</sst>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ageogroup.com/content/datasheet/asset/file/PYU-RC_GROUP_51_ROHS_L" TargetMode="External"/><Relationship Id="rId13" Type="http://schemas.openxmlformats.org/officeDocument/2006/relationships/hyperlink" Target="https://industrial.panasonic.com/cdbs/www-data/pdf/RDM0000/AOA0000C307.pdf" TargetMode="External"/><Relationship Id="rId18" Type="http://schemas.openxmlformats.org/officeDocument/2006/relationships/hyperlink" Target="https://www.espressif.com/sites/default/files/documentation/esp32-c3-wroom-02_datasheet_en.pdf" TargetMode="External"/><Relationship Id="rId3" Type="http://schemas.openxmlformats.org/officeDocument/2006/relationships/hyperlink" Target="https://search.murata.co.jp/Ceramy/image/img/A01X/G101/ENG/GRM2195C1H103JA01-01.pdf" TargetMode="External"/><Relationship Id="rId7" Type="http://schemas.openxmlformats.org/officeDocument/2006/relationships/hyperlink" Target="https://industrial.panasonic.com/cdbs/www-data/pdf/RDM0000/AOA0000C307.pdf" TargetMode="External"/><Relationship Id="rId12" Type="http://schemas.openxmlformats.org/officeDocument/2006/relationships/hyperlink" Target="https://industrial.panasonic.com/cdbs/www-data/pdf/RDM0000/AOA0000C307.pdf" TargetMode="External"/><Relationship Id="rId17" Type="http://schemas.openxmlformats.org/officeDocument/2006/relationships/hyperlink" Target="https://www.ti.com/lit/ds/symlink/ina823.pdf" TargetMode="External"/><Relationship Id="rId2" Type="http://schemas.openxmlformats.org/officeDocument/2006/relationships/hyperlink" Target="https://www.passivecomponent.com/wp-content/uploads/datasheet/WTC_MLCC_General_Purpose.pdf" TargetMode="External"/><Relationship Id="rId16" Type="http://schemas.openxmlformats.org/officeDocument/2006/relationships/hyperlink" Target="https://www.sameskydevices.com/product/resource/slw-129956-4a-ra-n-d.pdf" TargetMode="External"/><Relationship Id="rId20" Type="http://schemas.openxmlformats.org/officeDocument/2006/relationships/hyperlink" Target="https://www.ti.com/lit/ds/symlink/tlv4888.pdf?ts=1770078301548&amp;ref_url=https%253A%252F%252Fwww.ti.com%252Fproduct%252FTLV4888%253Fjktype%253Dhomepageproduct" TargetMode="External"/><Relationship Id="rId1" Type="http://schemas.openxmlformats.org/officeDocument/2006/relationships/hyperlink" Target="https://mm.digikey.com/Volume0/opasdata/d220001/medias/docus/609/CL21A106KOQNNNE_Spec.pdf" TargetMode="External"/><Relationship Id="rId6" Type="http://schemas.openxmlformats.org/officeDocument/2006/relationships/hyperlink" Target="https://tensility.s3.us-west-2.amazonaws.com/uploads/pdffiles/54-00174.pdf" TargetMode="External"/><Relationship Id="rId11" Type="http://schemas.openxmlformats.org/officeDocument/2006/relationships/hyperlink" Target="https://industrial.panasonic.com/cdbs/www-data/pdf/RDM0000/AOA0000C307.pdf" TargetMode="External"/><Relationship Id="rId5" Type="http://schemas.openxmlformats.org/officeDocument/2006/relationships/hyperlink" Target="https://www.jst-mfg.com/product/pdf/eng/eXH.pdf" TargetMode="External"/><Relationship Id="rId15" Type="http://schemas.openxmlformats.org/officeDocument/2006/relationships/hyperlink" Target="https://www.susumu.co.jp/common/pdf/n_catalog_partition05_en.pdf" TargetMode="External"/><Relationship Id="rId10" Type="http://schemas.openxmlformats.org/officeDocument/2006/relationships/hyperlink" Target="https://industrial.panasonic.com/cdbs/www-data/pdf/RDM0000/AOA0000C307.pdf" TargetMode="External"/><Relationship Id="rId19" Type="http://schemas.openxmlformats.org/officeDocument/2006/relationships/hyperlink" Target="https://www.ti.com/lit/ds/symlink/tlv4888.pdf?ts=1770078301548&amp;ref_url=https%253A%252F%252Fwww.ti.com%252Fproduct%252FTLV4888%253Fjktype%253Dhomepageproduct" TargetMode="External"/><Relationship Id="rId4" Type="http://schemas.openxmlformats.org/officeDocument/2006/relationships/hyperlink" Target="https://assets.nexperia.com/documents/data-sheet/PESD2CAN24XLT-Q.pdf" TargetMode="External"/><Relationship Id="rId9" Type="http://schemas.openxmlformats.org/officeDocument/2006/relationships/hyperlink" Target="https://industrial.panasonic.com/cdbs/www-data/pdf/RDM0000/AOA0000C307.pdf" TargetMode="External"/><Relationship Id="rId14" Type="http://schemas.openxmlformats.org/officeDocument/2006/relationships/hyperlink" Target="https://yageogroup.com/content/datasheet/asset/file/PYU-RC_GROUP_51_ROHS_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topLeftCell="A9" workbookViewId="0">
      <selection activeCell="M22" sqref="M22"/>
    </sheetView>
  </sheetViews>
  <sheetFormatPr baseColWidth="10" defaultColWidth="9.1406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t="s">
        <v>19</v>
      </c>
      <c r="C2" t="s">
        <v>20</v>
      </c>
      <c r="D2" t="s">
        <v>21</v>
      </c>
      <c r="E2" t="s">
        <v>22</v>
      </c>
      <c r="F2">
        <v>3</v>
      </c>
      <c r="H2">
        <v>5</v>
      </c>
      <c r="I2">
        <v>15</v>
      </c>
      <c r="J2" t="s">
        <v>23</v>
      </c>
      <c r="K2" t="s">
        <v>24</v>
      </c>
      <c r="L2" t="s">
        <v>25</v>
      </c>
      <c r="M2">
        <v>0.92</v>
      </c>
      <c r="N2">
        <v>1</v>
      </c>
      <c r="O2" t="s">
        <v>26</v>
      </c>
      <c r="P2" t="s">
        <v>24</v>
      </c>
      <c r="Q2" t="s">
        <v>27</v>
      </c>
      <c r="R2" t="s">
        <v>28</v>
      </c>
      <c r="S2" t="s">
        <v>20</v>
      </c>
    </row>
    <row r="3" spans="1:19" x14ac:dyDescent="0.25">
      <c r="A3">
        <v>2</v>
      </c>
      <c r="B3" t="s">
        <v>29</v>
      </c>
      <c r="C3" t="s">
        <v>20</v>
      </c>
      <c r="D3" t="s">
        <v>30</v>
      </c>
      <c r="E3" t="s">
        <v>22</v>
      </c>
      <c r="F3">
        <v>3</v>
      </c>
      <c r="H3">
        <v>6</v>
      </c>
      <c r="I3">
        <v>18</v>
      </c>
      <c r="J3" t="s">
        <v>23</v>
      </c>
      <c r="K3" t="s">
        <v>31</v>
      </c>
      <c r="L3" t="s">
        <v>32</v>
      </c>
      <c r="M3">
        <v>1.01</v>
      </c>
      <c r="N3">
        <v>1</v>
      </c>
      <c r="O3" t="s">
        <v>33</v>
      </c>
      <c r="P3" t="s">
        <v>31</v>
      </c>
      <c r="Q3" t="s">
        <v>34</v>
      </c>
      <c r="R3" t="s">
        <v>35</v>
      </c>
      <c r="S3" t="s">
        <v>20</v>
      </c>
    </row>
    <row r="4" spans="1:19" x14ac:dyDescent="0.25">
      <c r="A4">
        <v>3</v>
      </c>
      <c r="B4" t="s">
        <v>36</v>
      </c>
      <c r="C4" t="s">
        <v>20</v>
      </c>
      <c r="D4" t="s">
        <v>37</v>
      </c>
      <c r="E4" t="s">
        <v>22</v>
      </c>
      <c r="F4">
        <v>3</v>
      </c>
      <c r="H4">
        <v>2</v>
      </c>
      <c r="I4">
        <v>6</v>
      </c>
      <c r="J4" t="s">
        <v>23</v>
      </c>
      <c r="K4" t="s">
        <v>38</v>
      </c>
      <c r="L4" t="s">
        <v>39</v>
      </c>
      <c r="M4">
        <v>1.2</v>
      </c>
      <c r="N4">
        <v>1</v>
      </c>
      <c r="O4" t="s">
        <v>40</v>
      </c>
      <c r="P4" t="s">
        <v>38</v>
      </c>
      <c r="Q4" t="s">
        <v>41</v>
      </c>
      <c r="R4" t="s">
        <v>42</v>
      </c>
      <c r="S4" t="s">
        <v>20</v>
      </c>
    </row>
    <row r="5" spans="1:19" x14ac:dyDescent="0.25">
      <c r="A5">
        <v>4</v>
      </c>
      <c r="B5" t="s">
        <v>43</v>
      </c>
      <c r="C5" t="s">
        <v>20</v>
      </c>
      <c r="D5" t="s">
        <v>44</v>
      </c>
      <c r="E5" t="s">
        <v>22</v>
      </c>
      <c r="F5">
        <v>3</v>
      </c>
      <c r="H5">
        <v>1</v>
      </c>
      <c r="I5">
        <v>3</v>
      </c>
      <c r="J5" t="s">
        <v>23</v>
      </c>
      <c r="K5" t="s">
        <v>45</v>
      </c>
      <c r="L5" t="s">
        <v>46</v>
      </c>
      <c r="M5">
        <v>1.26</v>
      </c>
      <c r="N5">
        <v>1</v>
      </c>
      <c r="O5" t="s">
        <v>47</v>
      </c>
      <c r="P5" t="s">
        <v>45</v>
      </c>
      <c r="Q5" t="s">
        <v>48</v>
      </c>
      <c r="R5" t="s">
        <v>49</v>
      </c>
      <c r="S5" t="s">
        <v>20</v>
      </c>
    </row>
    <row r="6" spans="1:19" x14ac:dyDescent="0.25">
      <c r="A6">
        <v>5</v>
      </c>
      <c r="B6" t="s">
        <v>50</v>
      </c>
      <c r="C6" t="s">
        <v>20</v>
      </c>
      <c r="D6" t="s">
        <v>51</v>
      </c>
      <c r="E6" t="s">
        <v>22</v>
      </c>
      <c r="F6">
        <v>3</v>
      </c>
      <c r="H6">
        <v>1</v>
      </c>
      <c r="I6">
        <v>3</v>
      </c>
      <c r="J6" t="s">
        <v>52</v>
      </c>
      <c r="K6" t="s">
        <v>53</v>
      </c>
      <c r="L6" t="s">
        <v>54</v>
      </c>
      <c r="M6">
        <v>0.3</v>
      </c>
      <c r="N6">
        <v>1</v>
      </c>
      <c r="O6" t="s">
        <v>55</v>
      </c>
      <c r="P6" t="s">
        <v>53</v>
      </c>
      <c r="Q6" t="s">
        <v>56</v>
      </c>
      <c r="R6" t="s">
        <v>57</v>
      </c>
      <c r="S6" t="s">
        <v>20</v>
      </c>
    </row>
    <row r="7" spans="1:19" x14ac:dyDescent="0.25">
      <c r="A7">
        <v>6</v>
      </c>
      <c r="B7" t="s">
        <v>58</v>
      </c>
      <c r="C7" t="s">
        <v>20</v>
      </c>
      <c r="D7" t="s">
        <v>59</v>
      </c>
      <c r="E7" t="s">
        <v>22</v>
      </c>
      <c r="F7">
        <v>3</v>
      </c>
      <c r="H7">
        <v>1</v>
      </c>
      <c r="I7">
        <v>3</v>
      </c>
      <c r="J7" t="s">
        <v>23</v>
      </c>
      <c r="K7" t="s">
        <v>60</v>
      </c>
      <c r="L7" t="s">
        <v>61</v>
      </c>
      <c r="M7">
        <v>2.1</v>
      </c>
      <c r="N7">
        <v>1</v>
      </c>
      <c r="O7" t="s">
        <v>62</v>
      </c>
      <c r="P7" t="s">
        <v>60</v>
      </c>
      <c r="Q7" t="s">
        <v>34</v>
      </c>
      <c r="R7" t="s">
        <v>63</v>
      </c>
      <c r="S7" t="s">
        <v>20</v>
      </c>
    </row>
    <row r="8" spans="1:19" x14ac:dyDescent="0.25">
      <c r="A8">
        <v>7</v>
      </c>
      <c r="B8" t="s">
        <v>64</v>
      </c>
      <c r="C8" t="s">
        <v>20</v>
      </c>
      <c r="D8" t="s">
        <v>65</v>
      </c>
      <c r="E8" t="s">
        <v>22</v>
      </c>
      <c r="F8">
        <v>3</v>
      </c>
      <c r="H8">
        <v>2</v>
      </c>
      <c r="I8">
        <v>6</v>
      </c>
      <c r="J8" t="s">
        <v>23</v>
      </c>
      <c r="K8" t="s">
        <v>66</v>
      </c>
      <c r="L8" t="s">
        <v>54</v>
      </c>
      <c r="M8">
        <v>0.6</v>
      </c>
      <c r="N8">
        <v>1</v>
      </c>
      <c r="O8" t="s">
        <v>67</v>
      </c>
      <c r="P8" t="s">
        <v>64</v>
      </c>
      <c r="Q8" t="s">
        <v>68</v>
      </c>
      <c r="R8" t="s">
        <v>69</v>
      </c>
      <c r="S8" t="s">
        <v>20</v>
      </c>
    </row>
    <row r="9" spans="1:19" x14ac:dyDescent="0.25">
      <c r="A9">
        <v>8</v>
      </c>
      <c r="B9" t="s">
        <v>70</v>
      </c>
      <c r="C9" t="s">
        <v>20</v>
      </c>
      <c r="D9" t="s">
        <v>71</v>
      </c>
      <c r="E9" t="s">
        <v>22</v>
      </c>
      <c r="F9">
        <v>3</v>
      </c>
      <c r="H9">
        <v>2</v>
      </c>
      <c r="I9">
        <v>6</v>
      </c>
      <c r="J9" t="s">
        <v>23</v>
      </c>
      <c r="K9" t="s">
        <v>72</v>
      </c>
      <c r="L9" t="s">
        <v>54</v>
      </c>
      <c r="M9">
        <v>0.6</v>
      </c>
      <c r="N9">
        <v>1</v>
      </c>
      <c r="O9" t="s">
        <v>73</v>
      </c>
      <c r="P9" t="s">
        <v>72</v>
      </c>
      <c r="Q9" t="s">
        <v>41</v>
      </c>
      <c r="R9" t="s">
        <v>74</v>
      </c>
      <c r="S9" t="s">
        <v>20</v>
      </c>
    </row>
    <row r="10" spans="1:19" x14ac:dyDescent="0.25">
      <c r="A10">
        <v>9</v>
      </c>
      <c r="B10" t="s">
        <v>75</v>
      </c>
      <c r="C10" t="s">
        <v>20</v>
      </c>
      <c r="D10" t="s">
        <v>76</v>
      </c>
      <c r="E10" t="s">
        <v>22</v>
      </c>
      <c r="F10">
        <v>3</v>
      </c>
      <c r="H10">
        <v>3</v>
      </c>
      <c r="I10">
        <v>9</v>
      </c>
      <c r="J10" t="s">
        <v>23</v>
      </c>
      <c r="K10" t="s">
        <v>77</v>
      </c>
      <c r="L10" t="s">
        <v>54</v>
      </c>
      <c r="M10">
        <v>0.9</v>
      </c>
      <c r="N10">
        <v>1</v>
      </c>
      <c r="O10" t="s">
        <v>78</v>
      </c>
      <c r="P10" t="s">
        <v>77</v>
      </c>
      <c r="Q10" t="s">
        <v>79</v>
      </c>
      <c r="R10" t="s">
        <v>69</v>
      </c>
      <c r="S10" t="s">
        <v>20</v>
      </c>
    </row>
    <row r="11" spans="1:19" x14ac:dyDescent="0.25">
      <c r="A11">
        <v>10</v>
      </c>
      <c r="B11" t="s">
        <v>80</v>
      </c>
      <c r="C11" t="s">
        <v>20</v>
      </c>
      <c r="D11" t="s">
        <v>81</v>
      </c>
      <c r="E11" t="s">
        <v>22</v>
      </c>
      <c r="F11">
        <v>3</v>
      </c>
      <c r="H11">
        <v>4</v>
      </c>
      <c r="I11">
        <v>12</v>
      </c>
      <c r="J11" t="s">
        <v>23</v>
      </c>
      <c r="K11" t="s">
        <v>82</v>
      </c>
      <c r="L11" t="s">
        <v>83</v>
      </c>
      <c r="M11">
        <v>0.84</v>
      </c>
      <c r="N11">
        <v>1</v>
      </c>
      <c r="O11" t="s">
        <v>84</v>
      </c>
      <c r="P11" t="s">
        <v>82</v>
      </c>
      <c r="Q11" t="s">
        <v>79</v>
      </c>
      <c r="R11" t="s">
        <v>69</v>
      </c>
      <c r="S11" t="s">
        <v>20</v>
      </c>
    </row>
    <row r="12" spans="1:19" x14ac:dyDescent="0.25">
      <c r="A12">
        <v>11</v>
      </c>
      <c r="B12" t="s">
        <v>85</v>
      </c>
      <c r="C12" t="s">
        <v>20</v>
      </c>
      <c r="D12" t="s">
        <v>86</v>
      </c>
      <c r="E12" t="s">
        <v>22</v>
      </c>
      <c r="F12">
        <v>3</v>
      </c>
      <c r="H12">
        <v>1</v>
      </c>
      <c r="I12">
        <v>3</v>
      </c>
      <c r="J12" t="s">
        <v>23</v>
      </c>
      <c r="K12" t="s">
        <v>87</v>
      </c>
      <c r="L12" t="s">
        <v>54</v>
      </c>
      <c r="M12">
        <v>0.3</v>
      </c>
      <c r="N12">
        <v>1</v>
      </c>
      <c r="O12" t="s">
        <v>88</v>
      </c>
      <c r="P12" t="s">
        <v>87</v>
      </c>
      <c r="Q12" t="s">
        <v>79</v>
      </c>
      <c r="R12" t="s">
        <v>69</v>
      </c>
      <c r="S12" t="s">
        <v>20</v>
      </c>
    </row>
    <row r="13" spans="1:19" x14ac:dyDescent="0.25">
      <c r="A13">
        <v>12</v>
      </c>
      <c r="B13" t="s">
        <v>89</v>
      </c>
      <c r="C13" t="s">
        <v>20</v>
      </c>
      <c r="D13" t="s">
        <v>90</v>
      </c>
      <c r="E13" t="s">
        <v>22</v>
      </c>
      <c r="F13">
        <v>3</v>
      </c>
      <c r="H13">
        <v>4</v>
      </c>
      <c r="I13">
        <v>12</v>
      </c>
      <c r="J13" t="s">
        <v>23</v>
      </c>
      <c r="K13" t="s">
        <v>91</v>
      </c>
      <c r="L13" t="s">
        <v>83</v>
      </c>
      <c r="M13">
        <v>0.84</v>
      </c>
      <c r="N13">
        <v>1</v>
      </c>
      <c r="O13" t="s">
        <v>92</v>
      </c>
      <c r="P13" t="s">
        <v>91</v>
      </c>
      <c r="Q13" t="s">
        <v>68</v>
      </c>
      <c r="R13" t="s">
        <v>69</v>
      </c>
      <c r="S13" t="s">
        <v>20</v>
      </c>
    </row>
    <row r="14" spans="1:19" x14ac:dyDescent="0.25">
      <c r="A14">
        <v>13</v>
      </c>
      <c r="B14" t="s">
        <v>93</v>
      </c>
      <c r="C14" t="s">
        <v>20</v>
      </c>
      <c r="D14" t="s">
        <v>94</v>
      </c>
      <c r="E14" t="s">
        <v>22</v>
      </c>
      <c r="F14">
        <v>3</v>
      </c>
      <c r="H14">
        <v>7</v>
      </c>
      <c r="I14">
        <v>21</v>
      </c>
      <c r="J14" t="s">
        <v>23</v>
      </c>
      <c r="K14" t="s">
        <v>95</v>
      </c>
      <c r="L14" t="s">
        <v>83</v>
      </c>
      <c r="M14">
        <v>1.47</v>
      </c>
      <c r="N14">
        <v>1</v>
      </c>
      <c r="O14" t="s">
        <v>96</v>
      </c>
      <c r="P14" t="s">
        <v>95</v>
      </c>
      <c r="Q14" t="s">
        <v>79</v>
      </c>
      <c r="R14" t="s">
        <v>69</v>
      </c>
      <c r="S14" t="s">
        <v>20</v>
      </c>
    </row>
    <row r="15" spans="1:19" x14ac:dyDescent="0.25">
      <c r="A15">
        <v>14</v>
      </c>
      <c r="B15" t="s">
        <v>97</v>
      </c>
      <c r="C15" t="s">
        <v>20</v>
      </c>
      <c r="D15" t="s">
        <v>98</v>
      </c>
      <c r="E15" t="s">
        <v>22</v>
      </c>
      <c r="F15">
        <v>3</v>
      </c>
      <c r="H15">
        <v>2</v>
      </c>
      <c r="I15">
        <v>6</v>
      </c>
      <c r="J15" t="s">
        <v>23</v>
      </c>
      <c r="K15" t="s">
        <v>99</v>
      </c>
      <c r="L15" t="s">
        <v>54</v>
      </c>
      <c r="M15">
        <v>0.6</v>
      </c>
      <c r="N15">
        <v>1</v>
      </c>
      <c r="O15" t="s">
        <v>100</v>
      </c>
      <c r="P15" t="s">
        <v>99</v>
      </c>
      <c r="Q15" t="s">
        <v>41</v>
      </c>
      <c r="R15" t="s">
        <v>74</v>
      </c>
      <c r="S15" t="s">
        <v>20</v>
      </c>
    </row>
    <row r="16" spans="1:19" x14ac:dyDescent="0.25">
      <c r="A16">
        <v>15</v>
      </c>
      <c r="B16" t="s">
        <v>101</v>
      </c>
      <c r="C16" t="s">
        <v>20</v>
      </c>
      <c r="D16" t="s">
        <v>102</v>
      </c>
      <c r="E16" t="s">
        <v>22</v>
      </c>
      <c r="F16">
        <v>3</v>
      </c>
      <c r="H16">
        <v>2</v>
      </c>
      <c r="I16">
        <v>6</v>
      </c>
      <c r="J16" t="s">
        <v>23</v>
      </c>
      <c r="K16" t="s">
        <v>103</v>
      </c>
      <c r="L16" t="s">
        <v>54</v>
      </c>
      <c r="M16">
        <v>0.6</v>
      </c>
      <c r="N16">
        <v>1</v>
      </c>
      <c r="O16" t="s">
        <v>104</v>
      </c>
      <c r="P16" t="s">
        <v>103</v>
      </c>
      <c r="Q16" t="s">
        <v>105</v>
      </c>
      <c r="R16" t="s">
        <v>106</v>
      </c>
      <c r="S16" t="s">
        <v>20</v>
      </c>
    </row>
    <row r="17" spans="1:19" x14ac:dyDescent="0.25">
      <c r="A17">
        <v>16</v>
      </c>
      <c r="B17" t="s">
        <v>107</v>
      </c>
      <c r="C17" t="s">
        <v>20</v>
      </c>
      <c r="D17" t="s">
        <v>108</v>
      </c>
      <c r="E17" t="s">
        <v>22</v>
      </c>
      <c r="F17">
        <v>3</v>
      </c>
      <c r="H17">
        <v>1</v>
      </c>
      <c r="I17">
        <v>3</v>
      </c>
      <c r="J17" t="s">
        <v>109</v>
      </c>
      <c r="K17" t="s">
        <v>110</v>
      </c>
      <c r="L17" t="s">
        <v>111</v>
      </c>
      <c r="M17">
        <v>1.1399999999999999</v>
      </c>
      <c r="N17">
        <v>1</v>
      </c>
      <c r="O17" t="s">
        <v>112</v>
      </c>
      <c r="P17" t="s">
        <v>110</v>
      </c>
      <c r="Q17" t="s">
        <v>68</v>
      </c>
      <c r="R17" t="s">
        <v>113</v>
      </c>
      <c r="S17" t="s">
        <v>20</v>
      </c>
    </row>
    <row r="18" spans="1:19" x14ac:dyDescent="0.25">
      <c r="A18">
        <v>17</v>
      </c>
      <c r="B18" t="s">
        <v>114</v>
      </c>
      <c r="C18" t="s">
        <v>20</v>
      </c>
      <c r="D18" t="s">
        <v>115</v>
      </c>
      <c r="E18" t="s">
        <v>22</v>
      </c>
      <c r="F18">
        <v>3</v>
      </c>
      <c r="H18">
        <v>1</v>
      </c>
      <c r="I18">
        <v>3</v>
      </c>
      <c r="J18" t="s">
        <v>23</v>
      </c>
      <c r="K18" t="s">
        <v>116</v>
      </c>
      <c r="L18" t="s">
        <v>117</v>
      </c>
      <c r="M18">
        <v>10.86</v>
      </c>
      <c r="N18">
        <v>1</v>
      </c>
      <c r="O18" t="s">
        <v>118</v>
      </c>
      <c r="P18" t="s">
        <v>116</v>
      </c>
      <c r="Q18" t="s">
        <v>79</v>
      </c>
      <c r="R18" t="s">
        <v>119</v>
      </c>
      <c r="S18" t="s">
        <v>20</v>
      </c>
    </row>
    <row r="19" spans="1:19" x14ac:dyDescent="0.25">
      <c r="A19">
        <v>18</v>
      </c>
      <c r="B19" t="s">
        <v>120</v>
      </c>
      <c r="C19" t="s">
        <v>20</v>
      </c>
      <c r="D19" t="s">
        <v>121</v>
      </c>
      <c r="E19" t="s">
        <v>22</v>
      </c>
      <c r="F19">
        <v>3</v>
      </c>
      <c r="H19">
        <v>1</v>
      </c>
      <c r="I19">
        <v>3</v>
      </c>
      <c r="J19" t="s">
        <v>23</v>
      </c>
      <c r="K19" t="s">
        <v>122</v>
      </c>
      <c r="L19" t="s">
        <v>117</v>
      </c>
      <c r="M19">
        <v>10.86</v>
      </c>
      <c r="N19">
        <v>1</v>
      </c>
      <c r="O19" t="s">
        <v>123</v>
      </c>
      <c r="P19" t="s">
        <v>124</v>
      </c>
      <c r="Q19" t="s">
        <v>125</v>
      </c>
      <c r="R19" t="s">
        <v>126</v>
      </c>
      <c r="S19" t="s">
        <v>20</v>
      </c>
    </row>
    <row r="20" spans="1:19" x14ac:dyDescent="0.25">
      <c r="A20">
        <v>19</v>
      </c>
      <c r="B20" t="s">
        <v>127</v>
      </c>
      <c r="C20" t="s">
        <v>20</v>
      </c>
      <c r="D20" t="s">
        <v>128</v>
      </c>
      <c r="E20" t="s">
        <v>22</v>
      </c>
      <c r="F20">
        <v>3</v>
      </c>
      <c r="H20">
        <v>1</v>
      </c>
      <c r="I20">
        <v>3</v>
      </c>
      <c r="J20" t="s">
        <v>23</v>
      </c>
      <c r="K20" t="s">
        <v>129</v>
      </c>
      <c r="L20" t="s">
        <v>130</v>
      </c>
      <c r="M20">
        <v>5.37</v>
      </c>
      <c r="N20">
        <v>1</v>
      </c>
      <c r="O20" t="s">
        <v>131</v>
      </c>
      <c r="P20" t="s">
        <v>129</v>
      </c>
      <c r="Q20" t="s">
        <v>132</v>
      </c>
      <c r="R20" t="s">
        <v>133</v>
      </c>
      <c r="S20" t="s">
        <v>20</v>
      </c>
    </row>
    <row r="21" spans="1:19" x14ac:dyDescent="0.25">
      <c r="A21">
        <v>20</v>
      </c>
      <c r="B21" t="s">
        <v>127</v>
      </c>
      <c r="C21" t="s">
        <v>20</v>
      </c>
      <c r="D21" t="s">
        <v>128</v>
      </c>
      <c r="E21" t="s">
        <v>22</v>
      </c>
      <c r="F21">
        <v>3</v>
      </c>
      <c r="H21">
        <v>1</v>
      </c>
      <c r="I21">
        <v>3</v>
      </c>
      <c r="J21" t="s">
        <v>23</v>
      </c>
      <c r="K21" t="s">
        <v>129</v>
      </c>
      <c r="L21" t="s">
        <v>130</v>
      </c>
      <c r="M21">
        <v>5.37</v>
      </c>
      <c r="N21">
        <v>1</v>
      </c>
      <c r="O21" t="s">
        <v>134</v>
      </c>
      <c r="P21" t="s">
        <v>129</v>
      </c>
      <c r="Q21" t="s">
        <v>132</v>
      </c>
      <c r="R21" t="s">
        <v>133</v>
      </c>
      <c r="S21" t="s">
        <v>20</v>
      </c>
    </row>
    <row r="22" spans="1:19" x14ac:dyDescent="0.25">
      <c r="M22">
        <f>SUM(M2:M21)</f>
        <v>47.139999999999993</v>
      </c>
    </row>
  </sheetData>
  <hyperlinks>
    <hyperlink ref="R2" r:id="rId1" xr:uid="{00000000-0004-0000-0000-000000000000}"/>
    <hyperlink ref="R3" r:id="rId2" xr:uid="{00000000-0004-0000-0000-000001000000}"/>
    <hyperlink ref="R4" r:id="rId3" xr:uid="{00000000-0004-0000-0000-000002000000}"/>
    <hyperlink ref="R5" r:id="rId4" xr:uid="{00000000-0004-0000-0000-000003000000}"/>
    <hyperlink ref="R6" r:id="rId5" xr:uid="{00000000-0004-0000-0000-000004000000}"/>
    <hyperlink ref="R7" r:id="rId6" xr:uid="{00000000-0004-0000-0000-000005000000}"/>
    <hyperlink ref="R8" r:id="rId7" xr:uid="{00000000-0004-0000-0000-000006000000}"/>
    <hyperlink ref="R9" r:id="rId8" xr:uid="{00000000-0004-0000-0000-000007000000}"/>
    <hyperlink ref="R10" r:id="rId9" xr:uid="{00000000-0004-0000-0000-000008000000}"/>
    <hyperlink ref="R11" r:id="rId10" xr:uid="{00000000-0004-0000-0000-000009000000}"/>
    <hyperlink ref="R12" r:id="rId11" xr:uid="{00000000-0004-0000-0000-00000A000000}"/>
    <hyperlink ref="R13" r:id="rId12" xr:uid="{00000000-0004-0000-0000-00000B000000}"/>
    <hyperlink ref="R14" r:id="rId13" xr:uid="{00000000-0004-0000-0000-00000C000000}"/>
    <hyperlink ref="R15" r:id="rId14" xr:uid="{00000000-0004-0000-0000-00000D000000}"/>
    <hyperlink ref="R16" r:id="rId15" xr:uid="{00000000-0004-0000-0000-00000E000000}"/>
    <hyperlink ref="R17" r:id="rId16" xr:uid="{00000000-0004-0000-0000-00000F000000}"/>
    <hyperlink ref="R18" r:id="rId17" xr:uid="{00000000-0004-0000-0000-000010000000}"/>
    <hyperlink ref="R19" r:id="rId18" xr:uid="{00000000-0004-0000-0000-000011000000}"/>
    <hyperlink ref="R20" r:id="rId19" xr:uid="{00000000-0004-0000-0000-000012000000}"/>
    <hyperlink ref="R21" r:id="rId20" xr:uid="{00000000-0004-0000-00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 Lists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Escobar Mena (Alumno)</cp:lastModifiedBy>
  <dcterms:modified xsi:type="dcterms:W3CDTF">2026-06-04T05:44:27Z</dcterms:modified>
</cp:coreProperties>
</file>